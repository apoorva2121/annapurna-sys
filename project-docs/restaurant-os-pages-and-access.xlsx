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Permission matrix" sheetId="3" state="visible" r:id="rId3"/>
    <sheet xmlns:r="http://schemas.openxmlformats.org/officeDocument/2006/relationships" name="Features &amp; actions" sheetId="4" state="visible" r:id="rId4"/>
    <sheet xmlns:r="http://schemas.openxmlformats.org/officeDocument/2006/relationships" name="Roles" sheetId="5" state="visible" r:id="rId5"/>
  </sheets>
  <definedNames>
    <definedName name="_xlnm._FilterDatabase" localSheetId="1" hidden="1">'Pages'!$A$1:$O$63</definedName>
    <definedName name="_xlnm._FilterDatabase" localSheetId="3" hidden="1">'Features &amp; actions'!$A$1:$M$56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color rgb="000000FF"/>
      <sz val="10"/>
    </font>
    <font>
      <name val="Arial"/>
      <i val="1"/>
      <sz val="9"/>
    </font>
    <font>
      <name val="Arial"/>
      <b val="1"/>
      <color rgb="001F3864"/>
      <sz val="14"/>
    </font>
    <font>
      <name val="Arial"/>
      <b val="1"/>
      <color rgb="001F3864"/>
      <sz val="11"/>
    </font>
    <font>
      <name val="Arial"/>
      <b val="1"/>
      <sz val="10"/>
    </font>
  </fonts>
  <fills count="4">
    <fill>
      <patternFill/>
    </fill>
    <fill>
      <patternFill patternType="gray125"/>
    </fill>
    <fill>
      <patternFill patternType="solid">
        <fgColor rgb="001F3864"/>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5" fillId="0" borderId="0" pivotButton="0" quotePrefix="0" xfId="0"/>
    <xf numFmtId="0" fontId="2" fillId="0" borderId="0" pivotButton="0" quotePrefix="0" xfId="0"/>
    <xf numFmtId="0" fontId="6" fillId="0" borderId="0" pivotButton="0" quotePrefix="0" xfId="0"/>
    <xf numFmtId="0" fontId="1" fillId="2" borderId="1" applyAlignment="1" pivotButton="0" quotePrefix="0" xfId="0">
      <alignment horizontal="center" vertical="center" wrapText="1"/>
    </xf>
    <xf numFmtId="0" fontId="7" fillId="3"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horizontal="center" vertical="center"/>
    </xf>
    <xf numFmtId="0" fontId="1" fillId="2" borderId="1" applyAlignment="1" pivotButton="0" quotePrefix="0" xfId="0">
      <alignment horizontal="center" vertical="center"/>
    </xf>
    <xf numFmtId="0" fontId="2" fillId="0" borderId="1" pivotButton="0" quotePrefix="0" xfId="0"/>
    <xf numFmtId="0" fontId="3" fillId="0" borderId="1" applyAlignment="1" pivotButton="0" quotePrefix="0" xfId="0">
      <alignment horizontal="center"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showGridLines="0" workbookViewId="0">
      <selection activeCell="A1" sqref="A1"/>
    </sheetView>
  </sheetViews>
  <sheetFormatPr baseColWidth="8" defaultRowHeight="15"/>
  <cols>
    <col width="118" customWidth="1" min="1" max="1"/>
  </cols>
  <sheetData>
    <row r="1">
      <c r="A1" s="1" t="inlineStr">
        <is>
          <t>Restaurant OS - pages, features and who has access</t>
        </is>
      </c>
    </row>
    <row r="2">
      <c r="A2" s="2" t="inlineStr"/>
    </row>
    <row r="3">
      <c r="A3" s="2" t="inlineStr">
        <is>
          <t>Built on 2026-09-28 from the repository at C:\dev\restaurant-os, branch feat/m11-communication.</t>
        </is>
      </c>
    </row>
    <row r="4">
      <c r="A4" s="2" t="inlineStr">
        <is>
          <t>Nothing here is estimated. Pages come from frontend/src/staff/App.tsx and frontend/src/guest/App.tsx.</t>
        </is>
      </c>
    </row>
    <row r="5">
      <c r="A5" s="2" t="inlineStr">
        <is>
          <t>Roles and permissions come from backend/app/core/permissions.json, which is the single source of truth</t>
        </is>
      </c>
    </row>
    <row r="6">
      <c r="A6" s="2" t="inlineStr">
        <is>
          <t>the API enforces on every request.</t>
        </is>
      </c>
    </row>
    <row r="7">
      <c r="A7" s="2" t="inlineStr"/>
    </row>
    <row r="8">
      <c r="A8" s="3" t="inlineStr">
        <is>
          <t>Sheets</t>
        </is>
      </c>
    </row>
    <row r="9">
      <c r="A9" s="2" t="inlineStr">
        <is>
          <t>Pages - every screen in the product, grouped by area, with the permission its route demands and a Yes/- per role.</t>
        </is>
      </c>
    </row>
    <row r="10">
      <c r="A10" s="2" t="inlineStr">
        <is>
          <t>Features &amp; actions - all 55 permissions, which is the honest feature list, since a permission is one thing a person may do.</t>
        </is>
      </c>
    </row>
    <row r="11">
      <c r="A11" s="2" t="inlineStr">
        <is>
          <t>Roles - the nine role templates, their seniority rank and their totals.</t>
        </is>
      </c>
    </row>
    <row r="12">
      <c r="A12" s="2" t="inlineStr">
        <is>
          <t>Permission matrix - the raw grid the other sheets compute from. This is the only sheet holding typed data.</t>
        </is>
      </c>
    </row>
    <row r="13">
      <c r="A13" s="2" t="inlineStr"/>
    </row>
    <row r="14">
      <c r="A14" s="3" t="inlineStr">
        <is>
          <t>How to read the access columns</t>
        </is>
      </c>
    </row>
    <row r="15">
      <c r="A15" s="2" t="inlineStr">
        <is>
          <t>Yes       the role template grants the permission that route or action requires.</t>
        </is>
      </c>
    </row>
    <row r="16">
      <c r="A16" s="2" t="inlineStr">
        <is>
          <t>-         it does not. The route refuses with a readable message rather than a blank screen.</t>
        </is>
      </c>
    </row>
    <row r="17">
      <c r="A17" s="2" t="inlineStr">
        <is>
          <t>All       the screen carries no permission at all, so every signed-in role reaches it.</t>
        </is>
      </c>
    </row>
    <row r="18">
      <c r="A18" s="2" t="inlineStr">
        <is>
          <t>n/a       the guest screens need no login. A QR code is the whole authentication.</t>
        </is>
      </c>
    </row>
    <row r="19">
      <c r="A19" s="2" t="inlineStr">
        <is>
          <t>Dev build the route is compiled only into a development build and does not exist in production.</t>
        </is>
      </c>
    </row>
    <row r="20">
      <c r="A20" s="2" t="inlineStr"/>
    </row>
    <row r="21">
      <c r="A21" s="3" t="inlineStr">
        <is>
          <t>Four things the grid cannot show</t>
        </is>
      </c>
    </row>
    <row r="22">
      <c r="A22" s="2" t="inlineStr">
        <is>
          <t>1. Scope, not just permission. shift.view opens the roster for everyone, and what it returns differs:</t>
        </is>
      </c>
    </row>
    <row r="23">
      <c r="A23" s="2" t="inlineStr">
        <is>
          <t xml:space="preserve">   without shift.manage a person sees their own shifts. Same for tasks, messages and customers.</t>
        </is>
      </c>
    </row>
    <row r="24">
      <c r="A24" s="2" t="inlineStr">
        <is>
          <t>2. Controls inside a page. A manager reaches the menu and sees no price field, because menu.price is</t>
        </is>
      </c>
    </row>
    <row r="25">
      <c r="A25" s="2" t="inlineStr">
        <is>
          <t xml:space="preserve">   separate. The kitchen rail renders its buttons only for kot.update. The grid is per page, not per button.</t>
        </is>
      </c>
    </row>
    <row r="26">
      <c r="A26" s="2" t="inlineStr">
        <is>
          <t>3. Rank. Seniority, not permission, decides who may appoint or reset a password for whom. Password reset</t>
        </is>
      </c>
    </row>
    <row r="27">
      <c r="A27" s="2" t="inlineStr">
        <is>
          <t xml:space="preserve">   needs strictly more seniority, with co-owners as the one exception.</t>
        </is>
      </c>
    </row>
    <row r="28">
      <c r="A28" s="2" t="inlineStr">
        <is>
          <t>4. Roles are templates. An individual's grants are assigned per restaurant and can differ from the template.</t>
        </is>
      </c>
    </row>
    <row r="29">
      <c r="A29" s="2" t="inlineStr"/>
    </row>
    <row r="30">
      <c r="A30" s="3" t="inlineStr">
        <is>
          <t>One defect found while compiling this</t>
        </is>
      </c>
    </row>
    <row r="31">
      <c r="A31" s="2" t="inlineStr">
        <is>
          <t>In frontend/src/staff/App.tsx the /settings/shifts route is written inside the element of the /settings/tax</t>
        </is>
      </c>
    </row>
    <row r="32">
      <c r="A32" s="2" t="inlineStr">
        <is>
          <t>route rather than beside it. As the file currently reads, shift setup is not a reachable route and opening</t>
        </is>
      </c>
    </row>
    <row r="33">
      <c r="A33" s="2" t="inlineStr">
        <is>
          <t>tax rates renders a Route outside a Routes tree. Both rows are listed on the Pages sheet as designed.</t>
        </is>
      </c>
    </row>
    <row r="34">
      <c r="A34" s="2" t="inlineStr">
        <is>
          <t>This was not fixed, because the request was for an inventory.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3"/>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34" customWidth="1" min="3" max="3"/>
    <col width="22" customWidth="1" min="4" max="4"/>
    <col width="62" customWidth="1" min="5" max="5"/>
    <col width="2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30" customHeight="1">
      <c r="A1" s="4" t="inlineStr">
        <is>
          <t>Area</t>
        </is>
      </c>
      <c r="B1" s="4" t="inlineStr">
        <is>
          <t>Page / screen</t>
        </is>
      </c>
      <c r="C1" s="4" t="inlineStr">
        <is>
          <t>Route</t>
        </is>
      </c>
      <c r="D1" s="4" t="inlineStr">
        <is>
          <t>Surface</t>
        </is>
      </c>
      <c r="E1" s="4" t="inlineStr">
        <is>
          <t>What it does</t>
        </is>
      </c>
      <c r="F1" s="4" t="inlineStr">
        <is>
          <t>Permission required</t>
        </is>
      </c>
      <c r="G1" s="4" t="inlineStr">
        <is>
          <t>Owner</t>
        </is>
      </c>
      <c r="H1" s="4" t="inlineStr">
        <is>
          <t>Administrator</t>
        </is>
      </c>
      <c r="I1" s="4" t="inlineStr">
        <is>
          <t>Manager</t>
        </is>
      </c>
      <c r="J1" s="4" t="inlineStr">
        <is>
          <t>Chef</t>
        </is>
      </c>
      <c r="K1" s="4" t="inlineStr">
        <is>
          <t>Store Manager</t>
        </is>
      </c>
      <c r="L1" s="4" t="inlineStr">
        <is>
          <t>Accountant</t>
        </is>
      </c>
      <c r="M1" s="4" t="inlineStr">
        <is>
          <t>Kitchen Staff</t>
        </is>
      </c>
      <c r="N1" s="4" t="inlineStr">
        <is>
          <t>Waiter</t>
        </is>
      </c>
      <c r="O1" s="4" t="inlineStr">
        <is>
          <t>Cleaner</t>
        </is>
      </c>
    </row>
    <row r="2">
      <c r="A2" s="5" t="inlineStr">
        <is>
          <t>Access &amp; account</t>
        </is>
      </c>
      <c r="B2" s="6" t="inlineStr">
        <is>
          <t>Sign in</t>
        </is>
      </c>
      <c r="C2" s="6" t="inlineStr">
        <is>
          <t>/login</t>
        </is>
      </c>
      <c r="D2" s="6" t="inlineStr">
        <is>
          <t>Staff (web/PWA)</t>
        </is>
      </c>
      <c r="E2" s="7" t="inlineStr">
        <is>
          <t>Email or phone plus password; issues the session every other screen needs.</t>
        </is>
      </c>
      <c r="F2" s="6" t="inlineStr">
        <is>
          <t>(none - every role)</t>
        </is>
      </c>
      <c r="G2" s="8">
        <f>IF($F2="(none - every role)","All",IF($F2="DEV","Dev build",IF($F2="GUEST","n/a - guest",IFERROR(IF(INDEX('Permission matrix'!$B$2:$J$56,MATCH($F2,'Permission matrix'!$A$2:$A$56,0),MATCH(G$1,'Permission matrix'!$B$1:$J$1,0))=1,"Yes","-"),"?"))))</f>
        <v/>
      </c>
      <c r="H2" s="8">
        <f>IF($F2="(none - every role)","All",IF($F2="DEV","Dev build",IF($F2="GUEST","n/a - guest",IFERROR(IF(INDEX('Permission matrix'!$B$2:$J$56,MATCH($F2,'Permission matrix'!$A$2:$A$56,0),MATCH(H$1,'Permission matrix'!$B$1:$J$1,0))=1,"Yes","-"),"?"))))</f>
        <v/>
      </c>
      <c r="I2" s="8">
        <f>IF($F2="(none - every role)","All",IF($F2="DEV","Dev build",IF($F2="GUEST","n/a - guest",IFERROR(IF(INDEX('Permission matrix'!$B$2:$J$56,MATCH($F2,'Permission matrix'!$A$2:$A$56,0),MATCH(I$1,'Permission matrix'!$B$1:$J$1,0))=1,"Yes","-"),"?"))))</f>
        <v/>
      </c>
      <c r="J2" s="8">
        <f>IF($F2="(none - every role)","All",IF($F2="DEV","Dev build",IF($F2="GUEST","n/a - guest",IFERROR(IF(INDEX('Permission matrix'!$B$2:$J$56,MATCH($F2,'Permission matrix'!$A$2:$A$56,0),MATCH(J$1,'Permission matrix'!$B$1:$J$1,0))=1,"Yes","-"),"?"))))</f>
        <v/>
      </c>
      <c r="K2" s="8">
        <f>IF($F2="(none - every role)","All",IF($F2="DEV","Dev build",IF($F2="GUEST","n/a - guest",IFERROR(IF(INDEX('Permission matrix'!$B$2:$J$56,MATCH($F2,'Permission matrix'!$A$2:$A$56,0),MATCH(K$1,'Permission matrix'!$B$1:$J$1,0))=1,"Yes","-"),"?"))))</f>
        <v/>
      </c>
      <c r="L2" s="8">
        <f>IF($F2="(none - every role)","All",IF($F2="DEV","Dev build",IF($F2="GUEST","n/a - guest",IFERROR(IF(INDEX('Permission matrix'!$B$2:$J$56,MATCH($F2,'Permission matrix'!$A$2:$A$56,0),MATCH(L$1,'Permission matrix'!$B$1:$J$1,0))=1,"Yes","-"),"?"))))</f>
        <v/>
      </c>
      <c r="M2" s="8">
        <f>IF($F2="(none - every role)","All",IF($F2="DEV","Dev build",IF($F2="GUEST","n/a - guest",IFERROR(IF(INDEX('Permission matrix'!$B$2:$J$56,MATCH($F2,'Permission matrix'!$A$2:$A$56,0),MATCH(M$1,'Permission matrix'!$B$1:$J$1,0))=1,"Yes","-"),"?"))))</f>
        <v/>
      </c>
      <c r="N2" s="8">
        <f>IF($F2="(none - every role)","All",IF($F2="DEV","Dev build",IF($F2="GUEST","n/a - guest",IFERROR(IF(INDEX('Permission matrix'!$B$2:$J$56,MATCH($F2,'Permission matrix'!$A$2:$A$56,0),MATCH(N$1,'Permission matrix'!$B$1:$J$1,0))=1,"Yes","-"),"?"))))</f>
        <v/>
      </c>
      <c r="O2" s="8">
        <f>IF($F2="(none - every role)","All",IF($F2="DEV","Dev build",IF($F2="GUEST","n/a - guest",IFERROR(IF(INDEX('Permission matrix'!$B$2:$J$56,MATCH($F2,'Permission matrix'!$A$2:$A$56,0),MATCH(O$1,'Permission matrix'!$B$1:$J$1,0))=1,"Yes","-"),"?"))))</f>
        <v/>
      </c>
    </row>
    <row r="3">
      <c r="A3" s="5" t="inlineStr">
        <is>
          <t>Access &amp; account</t>
        </is>
      </c>
      <c r="B3" s="6" t="inlineStr">
        <is>
          <t>Home</t>
        </is>
      </c>
      <c r="C3" s="6" t="inlineStr">
        <is>
          <t>/</t>
        </is>
      </c>
      <c r="D3" s="6" t="inlineStr">
        <is>
          <t>Staff (web/PWA)</t>
        </is>
      </c>
      <c r="E3" s="7" t="inlineStr">
        <is>
          <t>Landing page. Lists the kitchen, store and diner screens the header does not carry.</t>
        </is>
      </c>
      <c r="F3" s="6" t="inlineStr">
        <is>
          <t>(none - every role)</t>
        </is>
      </c>
      <c r="G3" s="8">
        <f>IF($F3="(none - every role)","All",IF($F3="DEV","Dev build",IF($F3="GUEST","n/a - guest",IFERROR(IF(INDEX('Permission matrix'!$B$2:$J$56,MATCH($F3,'Permission matrix'!$A$2:$A$56,0),MATCH(G$1,'Permission matrix'!$B$1:$J$1,0))=1,"Yes","-"),"?"))))</f>
        <v/>
      </c>
      <c r="H3" s="8">
        <f>IF($F3="(none - every role)","All",IF($F3="DEV","Dev build",IF($F3="GUEST","n/a - guest",IFERROR(IF(INDEX('Permission matrix'!$B$2:$J$56,MATCH($F3,'Permission matrix'!$A$2:$A$56,0),MATCH(H$1,'Permission matrix'!$B$1:$J$1,0))=1,"Yes","-"),"?"))))</f>
        <v/>
      </c>
      <c r="I3" s="8">
        <f>IF($F3="(none - every role)","All",IF($F3="DEV","Dev build",IF($F3="GUEST","n/a - guest",IFERROR(IF(INDEX('Permission matrix'!$B$2:$J$56,MATCH($F3,'Permission matrix'!$A$2:$A$56,0),MATCH(I$1,'Permission matrix'!$B$1:$J$1,0))=1,"Yes","-"),"?"))))</f>
        <v/>
      </c>
      <c r="J3" s="8">
        <f>IF($F3="(none - every role)","All",IF($F3="DEV","Dev build",IF($F3="GUEST","n/a - guest",IFERROR(IF(INDEX('Permission matrix'!$B$2:$J$56,MATCH($F3,'Permission matrix'!$A$2:$A$56,0),MATCH(J$1,'Permission matrix'!$B$1:$J$1,0))=1,"Yes","-"),"?"))))</f>
        <v/>
      </c>
      <c r="K3" s="8">
        <f>IF($F3="(none - every role)","All",IF($F3="DEV","Dev build",IF($F3="GUEST","n/a - guest",IFERROR(IF(INDEX('Permission matrix'!$B$2:$J$56,MATCH($F3,'Permission matrix'!$A$2:$A$56,0),MATCH(K$1,'Permission matrix'!$B$1:$J$1,0))=1,"Yes","-"),"?"))))</f>
        <v/>
      </c>
      <c r="L3" s="8">
        <f>IF($F3="(none - every role)","All",IF($F3="DEV","Dev build",IF($F3="GUEST","n/a - guest",IFERROR(IF(INDEX('Permission matrix'!$B$2:$J$56,MATCH($F3,'Permission matrix'!$A$2:$A$56,0),MATCH(L$1,'Permission matrix'!$B$1:$J$1,0))=1,"Yes","-"),"?"))))</f>
        <v/>
      </c>
      <c r="M3" s="8">
        <f>IF($F3="(none - every role)","All",IF($F3="DEV","Dev build",IF($F3="GUEST","n/a - guest",IFERROR(IF(INDEX('Permission matrix'!$B$2:$J$56,MATCH($F3,'Permission matrix'!$A$2:$A$56,0),MATCH(M$1,'Permission matrix'!$B$1:$J$1,0))=1,"Yes","-"),"?"))))</f>
        <v/>
      </c>
      <c r="N3" s="8">
        <f>IF($F3="(none - every role)","All",IF($F3="DEV","Dev build",IF($F3="GUEST","n/a - guest",IFERROR(IF(INDEX('Permission matrix'!$B$2:$J$56,MATCH($F3,'Permission matrix'!$A$2:$A$56,0),MATCH(N$1,'Permission matrix'!$B$1:$J$1,0))=1,"Yes","-"),"?"))))</f>
        <v/>
      </c>
      <c r="O3" s="8">
        <f>IF($F3="(none - every role)","All",IF($F3="DEV","Dev build",IF($F3="GUEST","n/a - guest",IFERROR(IF(INDEX('Permission matrix'!$B$2:$J$56,MATCH($F3,'Permission matrix'!$A$2:$A$56,0),MATCH(O$1,'Permission matrix'!$B$1:$J$1,0))=1,"Yes","-"),"?"))))</f>
        <v/>
      </c>
    </row>
    <row r="4">
      <c r="A4" s="5" t="inlineStr">
        <is>
          <t>Access &amp; account</t>
        </is>
      </c>
      <c r="B4" s="6" t="inlineStr">
        <is>
          <t>My profile</t>
        </is>
      </c>
      <c r="C4" s="6" t="inlineStr">
        <is>
          <t>/profile</t>
        </is>
      </c>
      <c r="D4" s="6" t="inlineStr">
        <is>
          <t>Staff (web/PWA)</t>
        </is>
      </c>
      <c r="E4" s="7" t="inlineStr">
        <is>
          <t>Own name, contact details and password change.</t>
        </is>
      </c>
      <c r="F4" s="6" t="inlineStr">
        <is>
          <t>(none - every role)</t>
        </is>
      </c>
      <c r="G4" s="8">
        <f>IF($F4="(none - every role)","All",IF($F4="DEV","Dev build",IF($F4="GUEST","n/a - guest",IFERROR(IF(INDEX('Permission matrix'!$B$2:$J$56,MATCH($F4,'Permission matrix'!$A$2:$A$56,0),MATCH(G$1,'Permission matrix'!$B$1:$J$1,0))=1,"Yes","-"),"?"))))</f>
        <v/>
      </c>
      <c r="H4" s="8">
        <f>IF($F4="(none - every role)","All",IF($F4="DEV","Dev build",IF($F4="GUEST","n/a - guest",IFERROR(IF(INDEX('Permission matrix'!$B$2:$J$56,MATCH($F4,'Permission matrix'!$A$2:$A$56,0),MATCH(H$1,'Permission matrix'!$B$1:$J$1,0))=1,"Yes","-"),"?"))))</f>
        <v/>
      </c>
      <c r="I4" s="8">
        <f>IF($F4="(none - every role)","All",IF($F4="DEV","Dev build",IF($F4="GUEST","n/a - guest",IFERROR(IF(INDEX('Permission matrix'!$B$2:$J$56,MATCH($F4,'Permission matrix'!$A$2:$A$56,0),MATCH(I$1,'Permission matrix'!$B$1:$J$1,0))=1,"Yes","-"),"?"))))</f>
        <v/>
      </c>
      <c r="J4" s="8">
        <f>IF($F4="(none - every role)","All",IF($F4="DEV","Dev build",IF($F4="GUEST","n/a - guest",IFERROR(IF(INDEX('Permission matrix'!$B$2:$J$56,MATCH($F4,'Permission matrix'!$A$2:$A$56,0),MATCH(J$1,'Permission matrix'!$B$1:$J$1,0))=1,"Yes","-"),"?"))))</f>
        <v/>
      </c>
      <c r="K4" s="8">
        <f>IF($F4="(none - every role)","All",IF($F4="DEV","Dev build",IF($F4="GUEST","n/a - guest",IFERROR(IF(INDEX('Permission matrix'!$B$2:$J$56,MATCH($F4,'Permission matrix'!$A$2:$A$56,0),MATCH(K$1,'Permission matrix'!$B$1:$J$1,0))=1,"Yes","-"),"?"))))</f>
        <v/>
      </c>
      <c r="L4" s="8">
        <f>IF($F4="(none - every role)","All",IF($F4="DEV","Dev build",IF($F4="GUEST","n/a - guest",IFERROR(IF(INDEX('Permission matrix'!$B$2:$J$56,MATCH($F4,'Permission matrix'!$A$2:$A$56,0),MATCH(L$1,'Permission matrix'!$B$1:$J$1,0))=1,"Yes","-"),"?"))))</f>
        <v/>
      </c>
      <c r="M4" s="8">
        <f>IF($F4="(none - every role)","All",IF($F4="DEV","Dev build",IF($F4="GUEST","n/a - guest",IFERROR(IF(INDEX('Permission matrix'!$B$2:$J$56,MATCH($F4,'Permission matrix'!$A$2:$A$56,0),MATCH(M$1,'Permission matrix'!$B$1:$J$1,0))=1,"Yes","-"),"?"))))</f>
        <v/>
      </c>
      <c r="N4" s="8">
        <f>IF($F4="(none - every role)","All",IF($F4="DEV","Dev build",IF($F4="GUEST","n/a - guest",IFERROR(IF(INDEX('Permission matrix'!$B$2:$J$56,MATCH($F4,'Permission matrix'!$A$2:$A$56,0),MATCH(N$1,'Permission matrix'!$B$1:$J$1,0))=1,"Yes","-"),"?"))))</f>
        <v/>
      </c>
      <c r="O4" s="8">
        <f>IF($F4="(none - every role)","All",IF($F4="DEV","Dev build",IF($F4="GUEST","n/a - guest",IFERROR(IF(INDEX('Permission matrix'!$B$2:$J$56,MATCH($F4,'Permission matrix'!$A$2:$A$56,0),MATCH(O$1,'Permission matrix'!$B$1:$J$1,0))=1,"Yes","-"),"?"))))</f>
        <v/>
      </c>
    </row>
    <row r="5">
      <c r="A5" s="5" t="inlineStr">
        <is>
          <t>Access &amp; account</t>
        </is>
      </c>
      <c r="B5" s="6" t="inlineStr">
        <is>
          <t>Alerts</t>
        </is>
      </c>
      <c r="C5" s="6" t="inlineStr">
        <is>
          <t>/alerts</t>
        </is>
      </c>
      <c r="D5" s="6" t="inlineStr">
        <is>
          <t>Staff (web/PWA)</t>
        </is>
      </c>
      <c r="E5" s="7" t="inlineStr">
        <is>
          <t>Notification centre. Contents decided per condition by what the person can act on.</t>
        </is>
      </c>
      <c r="F5" s="6" t="inlineStr">
        <is>
          <t>(none - every role)</t>
        </is>
      </c>
      <c r="G5" s="8">
        <f>IF($F5="(none - every role)","All",IF($F5="DEV","Dev build",IF($F5="GUEST","n/a - guest",IFERROR(IF(INDEX('Permission matrix'!$B$2:$J$56,MATCH($F5,'Permission matrix'!$A$2:$A$56,0),MATCH(G$1,'Permission matrix'!$B$1:$J$1,0))=1,"Yes","-"),"?"))))</f>
        <v/>
      </c>
      <c r="H5" s="8">
        <f>IF($F5="(none - every role)","All",IF($F5="DEV","Dev build",IF($F5="GUEST","n/a - guest",IFERROR(IF(INDEX('Permission matrix'!$B$2:$J$56,MATCH($F5,'Permission matrix'!$A$2:$A$56,0),MATCH(H$1,'Permission matrix'!$B$1:$J$1,0))=1,"Yes","-"),"?"))))</f>
        <v/>
      </c>
      <c r="I5" s="8">
        <f>IF($F5="(none - every role)","All",IF($F5="DEV","Dev build",IF($F5="GUEST","n/a - guest",IFERROR(IF(INDEX('Permission matrix'!$B$2:$J$56,MATCH($F5,'Permission matrix'!$A$2:$A$56,0),MATCH(I$1,'Permission matrix'!$B$1:$J$1,0))=1,"Yes","-"),"?"))))</f>
        <v/>
      </c>
      <c r="J5" s="8">
        <f>IF($F5="(none - every role)","All",IF($F5="DEV","Dev build",IF($F5="GUEST","n/a - guest",IFERROR(IF(INDEX('Permission matrix'!$B$2:$J$56,MATCH($F5,'Permission matrix'!$A$2:$A$56,0),MATCH(J$1,'Permission matrix'!$B$1:$J$1,0))=1,"Yes","-"),"?"))))</f>
        <v/>
      </c>
      <c r="K5" s="8">
        <f>IF($F5="(none - every role)","All",IF($F5="DEV","Dev build",IF($F5="GUEST","n/a - guest",IFERROR(IF(INDEX('Permission matrix'!$B$2:$J$56,MATCH($F5,'Permission matrix'!$A$2:$A$56,0),MATCH(K$1,'Permission matrix'!$B$1:$J$1,0))=1,"Yes","-"),"?"))))</f>
        <v/>
      </c>
      <c r="L5" s="8">
        <f>IF($F5="(none - every role)","All",IF($F5="DEV","Dev build",IF($F5="GUEST","n/a - guest",IFERROR(IF(INDEX('Permission matrix'!$B$2:$J$56,MATCH($F5,'Permission matrix'!$A$2:$A$56,0),MATCH(L$1,'Permission matrix'!$B$1:$J$1,0))=1,"Yes","-"),"?"))))</f>
        <v/>
      </c>
      <c r="M5" s="8">
        <f>IF($F5="(none - every role)","All",IF($F5="DEV","Dev build",IF($F5="GUEST","n/a - guest",IFERROR(IF(INDEX('Permission matrix'!$B$2:$J$56,MATCH($F5,'Permission matrix'!$A$2:$A$56,0),MATCH(M$1,'Permission matrix'!$B$1:$J$1,0))=1,"Yes","-"),"?"))))</f>
        <v/>
      </c>
      <c r="N5" s="8">
        <f>IF($F5="(none - every role)","All",IF($F5="DEV","Dev build",IF($F5="GUEST","n/a - guest",IFERROR(IF(INDEX('Permission matrix'!$B$2:$J$56,MATCH($F5,'Permission matrix'!$A$2:$A$56,0),MATCH(N$1,'Permission matrix'!$B$1:$J$1,0))=1,"Yes","-"),"?"))))</f>
        <v/>
      </c>
      <c r="O5" s="8">
        <f>IF($F5="(none - every role)","All",IF($F5="DEV","Dev build",IF($F5="GUEST","n/a - guest",IFERROR(IF(INDEX('Permission matrix'!$B$2:$J$56,MATCH($F5,'Permission matrix'!$A$2:$A$56,0),MATCH(O$1,'Permission matrix'!$B$1:$J$1,0))=1,"Yes","-"),"?"))))</f>
        <v/>
      </c>
    </row>
    <row r="6">
      <c r="A6" s="5" t="inlineStr">
        <is>
          <t>Menu setting</t>
        </is>
      </c>
      <c r="B6" s="6" t="inlineStr">
        <is>
          <t>Menu</t>
        </is>
      </c>
      <c r="C6" s="6" t="inlineStr">
        <is>
          <t>/menu</t>
        </is>
      </c>
      <c r="D6" s="6" t="inlineStr">
        <is>
          <t>Staff (web/PWA)</t>
        </is>
      </c>
      <c r="E6" s="7" t="inlineStr">
        <is>
          <t>Categories, dishes and variants. Price control renders only for menu.price holders.</t>
        </is>
      </c>
      <c r="F6" s="6" t="inlineStr">
        <is>
          <t>menu.view</t>
        </is>
      </c>
      <c r="G6" s="8">
        <f>IF($F6="(none - every role)","All",IF($F6="DEV","Dev build",IF($F6="GUEST","n/a - guest",IFERROR(IF(INDEX('Permission matrix'!$B$2:$J$56,MATCH($F6,'Permission matrix'!$A$2:$A$56,0),MATCH(G$1,'Permission matrix'!$B$1:$J$1,0))=1,"Yes","-"),"?"))))</f>
        <v/>
      </c>
      <c r="H6" s="8">
        <f>IF($F6="(none - every role)","All",IF($F6="DEV","Dev build",IF($F6="GUEST","n/a - guest",IFERROR(IF(INDEX('Permission matrix'!$B$2:$J$56,MATCH($F6,'Permission matrix'!$A$2:$A$56,0),MATCH(H$1,'Permission matrix'!$B$1:$J$1,0))=1,"Yes","-"),"?"))))</f>
        <v/>
      </c>
      <c r="I6" s="8">
        <f>IF($F6="(none - every role)","All",IF($F6="DEV","Dev build",IF($F6="GUEST","n/a - guest",IFERROR(IF(INDEX('Permission matrix'!$B$2:$J$56,MATCH($F6,'Permission matrix'!$A$2:$A$56,0),MATCH(I$1,'Permission matrix'!$B$1:$J$1,0))=1,"Yes","-"),"?"))))</f>
        <v/>
      </c>
      <c r="J6" s="8">
        <f>IF($F6="(none - every role)","All",IF($F6="DEV","Dev build",IF($F6="GUEST","n/a - guest",IFERROR(IF(INDEX('Permission matrix'!$B$2:$J$56,MATCH($F6,'Permission matrix'!$A$2:$A$56,0),MATCH(J$1,'Permission matrix'!$B$1:$J$1,0))=1,"Yes","-"),"?"))))</f>
        <v/>
      </c>
      <c r="K6" s="8">
        <f>IF($F6="(none - every role)","All",IF($F6="DEV","Dev build",IF($F6="GUEST","n/a - guest",IFERROR(IF(INDEX('Permission matrix'!$B$2:$J$56,MATCH($F6,'Permission matrix'!$A$2:$A$56,0),MATCH(K$1,'Permission matrix'!$B$1:$J$1,0))=1,"Yes","-"),"?"))))</f>
        <v/>
      </c>
      <c r="L6" s="8">
        <f>IF($F6="(none - every role)","All",IF($F6="DEV","Dev build",IF($F6="GUEST","n/a - guest",IFERROR(IF(INDEX('Permission matrix'!$B$2:$J$56,MATCH($F6,'Permission matrix'!$A$2:$A$56,0),MATCH(L$1,'Permission matrix'!$B$1:$J$1,0))=1,"Yes","-"),"?"))))</f>
        <v/>
      </c>
      <c r="M6" s="8">
        <f>IF($F6="(none - every role)","All",IF($F6="DEV","Dev build",IF($F6="GUEST","n/a - guest",IFERROR(IF(INDEX('Permission matrix'!$B$2:$J$56,MATCH($F6,'Permission matrix'!$A$2:$A$56,0),MATCH(M$1,'Permission matrix'!$B$1:$J$1,0))=1,"Yes","-"),"?"))))</f>
        <v/>
      </c>
      <c r="N6" s="8">
        <f>IF($F6="(none - every role)","All",IF($F6="DEV","Dev build",IF($F6="GUEST","n/a - guest",IFERROR(IF(INDEX('Permission matrix'!$B$2:$J$56,MATCH($F6,'Permission matrix'!$A$2:$A$56,0),MATCH(N$1,'Permission matrix'!$B$1:$J$1,0))=1,"Yes","-"),"?"))))</f>
        <v/>
      </c>
      <c r="O6" s="8">
        <f>IF($F6="(none - every role)","All",IF($F6="DEV","Dev build",IF($F6="GUEST","n/a - guest",IFERROR(IF(INDEX('Permission matrix'!$B$2:$J$56,MATCH($F6,'Permission matrix'!$A$2:$A$56,0),MATCH(O$1,'Permission matrix'!$B$1:$J$1,0))=1,"Yes","-"),"?"))))</f>
        <v/>
      </c>
    </row>
    <row r="7">
      <c r="A7" s="5" t="inlineStr">
        <is>
          <t>Menu setting</t>
        </is>
      </c>
      <c r="B7" s="6" t="inlineStr">
        <is>
          <t>Dish detail</t>
        </is>
      </c>
      <c r="C7" s="6" t="inlineStr">
        <is>
          <t>/menu/:itemId</t>
        </is>
      </c>
      <c r="D7" s="6" t="inlineStr">
        <is>
          <t>Staff (web/PWA)</t>
        </is>
      </c>
      <c r="E7" s="7" t="inlineStr">
        <is>
          <t>One dish: variants, modifiers, allergens, availability, price and tax group.</t>
        </is>
      </c>
      <c r="F7" s="6" t="inlineStr">
        <is>
          <t>menu.view</t>
        </is>
      </c>
      <c r="G7" s="8">
        <f>IF($F7="(none - every role)","All",IF($F7="DEV","Dev build",IF($F7="GUEST","n/a - guest",IFERROR(IF(INDEX('Permission matrix'!$B$2:$J$56,MATCH($F7,'Permission matrix'!$A$2:$A$56,0),MATCH(G$1,'Permission matrix'!$B$1:$J$1,0))=1,"Yes","-"),"?"))))</f>
        <v/>
      </c>
      <c r="H7" s="8">
        <f>IF($F7="(none - every role)","All",IF($F7="DEV","Dev build",IF($F7="GUEST","n/a - guest",IFERROR(IF(INDEX('Permission matrix'!$B$2:$J$56,MATCH($F7,'Permission matrix'!$A$2:$A$56,0),MATCH(H$1,'Permission matrix'!$B$1:$J$1,0))=1,"Yes","-"),"?"))))</f>
        <v/>
      </c>
      <c r="I7" s="8">
        <f>IF($F7="(none - every role)","All",IF($F7="DEV","Dev build",IF($F7="GUEST","n/a - guest",IFERROR(IF(INDEX('Permission matrix'!$B$2:$J$56,MATCH($F7,'Permission matrix'!$A$2:$A$56,0),MATCH(I$1,'Permission matrix'!$B$1:$J$1,0))=1,"Yes","-"),"?"))))</f>
        <v/>
      </c>
      <c r="J7" s="8">
        <f>IF($F7="(none - every role)","All",IF($F7="DEV","Dev build",IF($F7="GUEST","n/a - guest",IFERROR(IF(INDEX('Permission matrix'!$B$2:$J$56,MATCH($F7,'Permission matrix'!$A$2:$A$56,0),MATCH(J$1,'Permission matrix'!$B$1:$J$1,0))=1,"Yes","-"),"?"))))</f>
        <v/>
      </c>
      <c r="K7" s="8">
        <f>IF($F7="(none - every role)","All",IF($F7="DEV","Dev build",IF($F7="GUEST","n/a - guest",IFERROR(IF(INDEX('Permission matrix'!$B$2:$J$56,MATCH($F7,'Permission matrix'!$A$2:$A$56,0),MATCH(K$1,'Permission matrix'!$B$1:$J$1,0))=1,"Yes","-"),"?"))))</f>
        <v/>
      </c>
      <c r="L7" s="8">
        <f>IF($F7="(none - every role)","All",IF($F7="DEV","Dev build",IF($F7="GUEST","n/a - guest",IFERROR(IF(INDEX('Permission matrix'!$B$2:$J$56,MATCH($F7,'Permission matrix'!$A$2:$A$56,0),MATCH(L$1,'Permission matrix'!$B$1:$J$1,0))=1,"Yes","-"),"?"))))</f>
        <v/>
      </c>
      <c r="M7" s="8">
        <f>IF($F7="(none - every role)","All",IF($F7="DEV","Dev build",IF($F7="GUEST","n/a - guest",IFERROR(IF(INDEX('Permission matrix'!$B$2:$J$56,MATCH($F7,'Permission matrix'!$A$2:$A$56,0),MATCH(M$1,'Permission matrix'!$B$1:$J$1,0))=1,"Yes","-"),"?"))))</f>
        <v/>
      </c>
      <c r="N7" s="8">
        <f>IF($F7="(none - every role)","All",IF($F7="DEV","Dev build",IF($F7="GUEST","n/a - guest",IFERROR(IF(INDEX('Permission matrix'!$B$2:$J$56,MATCH($F7,'Permission matrix'!$A$2:$A$56,0),MATCH(N$1,'Permission matrix'!$B$1:$J$1,0))=1,"Yes","-"),"?"))))</f>
        <v/>
      </c>
      <c r="O7" s="8">
        <f>IF($F7="(none - every role)","All",IF($F7="DEV","Dev build",IF($F7="GUEST","n/a - guest",IFERROR(IF(INDEX('Permission matrix'!$B$2:$J$56,MATCH($F7,'Permission matrix'!$A$2:$A$56,0),MATCH(O$1,'Permission matrix'!$B$1:$J$1,0))=1,"Yes","-"),"?"))))</f>
        <v/>
      </c>
    </row>
    <row r="8">
      <c r="A8" s="5" t="inlineStr">
        <is>
          <t>Menu setting</t>
        </is>
      </c>
      <c r="B8" s="6" t="inlineStr">
        <is>
          <t>Modifier groups</t>
        </is>
      </c>
      <c r="C8" s="6" t="inlineStr">
        <is>
          <t>/menu/options</t>
        </is>
      </c>
      <c r="D8" s="6" t="inlineStr">
        <is>
          <t>Staff (web/PWA)</t>
        </is>
      </c>
      <c r="E8" s="7" t="inlineStr">
        <is>
          <t>Option sets attached to dishes (spice level, add-ons, portion).</t>
        </is>
      </c>
      <c r="F8" s="6" t="inlineStr">
        <is>
          <t>menu.view</t>
        </is>
      </c>
      <c r="G8" s="8">
        <f>IF($F8="(none - every role)","All",IF($F8="DEV","Dev build",IF($F8="GUEST","n/a - guest",IFERROR(IF(INDEX('Permission matrix'!$B$2:$J$56,MATCH($F8,'Permission matrix'!$A$2:$A$56,0),MATCH(G$1,'Permission matrix'!$B$1:$J$1,0))=1,"Yes","-"),"?"))))</f>
        <v/>
      </c>
      <c r="H8" s="8">
        <f>IF($F8="(none - every role)","All",IF($F8="DEV","Dev build",IF($F8="GUEST","n/a - guest",IFERROR(IF(INDEX('Permission matrix'!$B$2:$J$56,MATCH($F8,'Permission matrix'!$A$2:$A$56,0),MATCH(H$1,'Permission matrix'!$B$1:$J$1,0))=1,"Yes","-"),"?"))))</f>
        <v/>
      </c>
      <c r="I8" s="8">
        <f>IF($F8="(none - every role)","All",IF($F8="DEV","Dev build",IF($F8="GUEST","n/a - guest",IFERROR(IF(INDEX('Permission matrix'!$B$2:$J$56,MATCH($F8,'Permission matrix'!$A$2:$A$56,0),MATCH(I$1,'Permission matrix'!$B$1:$J$1,0))=1,"Yes","-"),"?"))))</f>
        <v/>
      </c>
      <c r="J8" s="8">
        <f>IF($F8="(none - every role)","All",IF($F8="DEV","Dev build",IF($F8="GUEST","n/a - guest",IFERROR(IF(INDEX('Permission matrix'!$B$2:$J$56,MATCH($F8,'Permission matrix'!$A$2:$A$56,0),MATCH(J$1,'Permission matrix'!$B$1:$J$1,0))=1,"Yes","-"),"?"))))</f>
        <v/>
      </c>
      <c r="K8" s="8">
        <f>IF($F8="(none - every role)","All",IF($F8="DEV","Dev build",IF($F8="GUEST","n/a - guest",IFERROR(IF(INDEX('Permission matrix'!$B$2:$J$56,MATCH($F8,'Permission matrix'!$A$2:$A$56,0),MATCH(K$1,'Permission matrix'!$B$1:$J$1,0))=1,"Yes","-"),"?"))))</f>
        <v/>
      </c>
      <c r="L8" s="8">
        <f>IF($F8="(none - every role)","All",IF($F8="DEV","Dev build",IF($F8="GUEST","n/a - guest",IFERROR(IF(INDEX('Permission matrix'!$B$2:$J$56,MATCH($F8,'Permission matrix'!$A$2:$A$56,0),MATCH(L$1,'Permission matrix'!$B$1:$J$1,0))=1,"Yes","-"),"?"))))</f>
        <v/>
      </c>
      <c r="M8" s="8">
        <f>IF($F8="(none - every role)","All",IF($F8="DEV","Dev build",IF($F8="GUEST","n/a - guest",IFERROR(IF(INDEX('Permission matrix'!$B$2:$J$56,MATCH($F8,'Permission matrix'!$A$2:$A$56,0),MATCH(M$1,'Permission matrix'!$B$1:$J$1,0))=1,"Yes","-"),"?"))))</f>
        <v/>
      </c>
      <c r="N8" s="8">
        <f>IF($F8="(none - every role)","All",IF($F8="DEV","Dev build",IF($F8="GUEST","n/a - guest",IFERROR(IF(INDEX('Permission matrix'!$B$2:$J$56,MATCH($F8,'Permission matrix'!$A$2:$A$56,0),MATCH(N$1,'Permission matrix'!$B$1:$J$1,0))=1,"Yes","-"),"?"))))</f>
        <v/>
      </c>
      <c r="O8" s="8">
        <f>IF($F8="(none - every role)","All",IF($F8="DEV","Dev build",IF($F8="GUEST","n/a - guest",IFERROR(IF(INDEX('Permission matrix'!$B$2:$J$56,MATCH($F8,'Permission matrix'!$A$2:$A$56,0),MATCH(O$1,'Permission matrix'!$B$1:$J$1,0))=1,"Yes","-"),"?"))))</f>
        <v/>
      </c>
    </row>
    <row r="9">
      <c r="A9" s="5" t="inlineStr">
        <is>
          <t>Menu setting</t>
        </is>
      </c>
      <c r="B9" s="6" t="inlineStr">
        <is>
          <t>Menu codes</t>
        </is>
      </c>
      <c r="C9" s="6" t="inlineStr">
        <is>
          <t>/menu/codes</t>
        </is>
      </c>
      <c r="D9" s="6" t="inlineStr">
        <is>
          <t>Staff (web/PWA)</t>
        </is>
      </c>
      <c r="E9" s="7" t="inlineStr">
        <is>
          <t>Table of dish and variant codes for external reference. Withheld from waiters on purpose.</t>
        </is>
      </c>
      <c r="F9" s="6" t="inlineStr">
        <is>
          <t>menu.manage</t>
        </is>
      </c>
      <c r="G9" s="8">
        <f>IF($F9="(none - every role)","All",IF($F9="DEV","Dev build",IF($F9="GUEST","n/a - guest",IFERROR(IF(INDEX('Permission matrix'!$B$2:$J$56,MATCH($F9,'Permission matrix'!$A$2:$A$56,0),MATCH(G$1,'Permission matrix'!$B$1:$J$1,0))=1,"Yes","-"),"?"))))</f>
        <v/>
      </c>
      <c r="H9" s="8">
        <f>IF($F9="(none - every role)","All",IF($F9="DEV","Dev build",IF($F9="GUEST","n/a - guest",IFERROR(IF(INDEX('Permission matrix'!$B$2:$J$56,MATCH($F9,'Permission matrix'!$A$2:$A$56,0),MATCH(H$1,'Permission matrix'!$B$1:$J$1,0))=1,"Yes","-"),"?"))))</f>
        <v/>
      </c>
      <c r="I9" s="8">
        <f>IF($F9="(none - every role)","All",IF($F9="DEV","Dev build",IF($F9="GUEST","n/a - guest",IFERROR(IF(INDEX('Permission matrix'!$B$2:$J$56,MATCH($F9,'Permission matrix'!$A$2:$A$56,0),MATCH(I$1,'Permission matrix'!$B$1:$J$1,0))=1,"Yes","-"),"?"))))</f>
        <v/>
      </c>
      <c r="J9" s="8">
        <f>IF($F9="(none - every role)","All",IF($F9="DEV","Dev build",IF($F9="GUEST","n/a - guest",IFERROR(IF(INDEX('Permission matrix'!$B$2:$J$56,MATCH($F9,'Permission matrix'!$A$2:$A$56,0),MATCH(J$1,'Permission matrix'!$B$1:$J$1,0))=1,"Yes","-"),"?"))))</f>
        <v/>
      </c>
      <c r="K9" s="8">
        <f>IF($F9="(none - every role)","All",IF($F9="DEV","Dev build",IF($F9="GUEST","n/a - guest",IFERROR(IF(INDEX('Permission matrix'!$B$2:$J$56,MATCH($F9,'Permission matrix'!$A$2:$A$56,0),MATCH(K$1,'Permission matrix'!$B$1:$J$1,0))=1,"Yes","-"),"?"))))</f>
        <v/>
      </c>
      <c r="L9" s="8">
        <f>IF($F9="(none - every role)","All",IF($F9="DEV","Dev build",IF($F9="GUEST","n/a - guest",IFERROR(IF(INDEX('Permission matrix'!$B$2:$J$56,MATCH($F9,'Permission matrix'!$A$2:$A$56,0),MATCH(L$1,'Permission matrix'!$B$1:$J$1,0))=1,"Yes","-"),"?"))))</f>
        <v/>
      </c>
      <c r="M9" s="8">
        <f>IF($F9="(none - every role)","All",IF($F9="DEV","Dev build",IF($F9="GUEST","n/a - guest",IFERROR(IF(INDEX('Permission matrix'!$B$2:$J$56,MATCH($F9,'Permission matrix'!$A$2:$A$56,0),MATCH(M$1,'Permission matrix'!$B$1:$J$1,0))=1,"Yes","-"),"?"))))</f>
        <v/>
      </c>
      <c r="N9" s="8">
        <f>IF($F9="(none - every role)","All",IF($F9="DEV","Dev build",IF($F9="GUEST","n/a - guest",IFERROR(IF(INDEX('Permission matrix'!$B$2:$J$56,MATCH($F9,'Permission matrix'!$A$2:$A$56,0),MATCH(N$1,'Permission matrix'!$B$1:$J$1,0))=1,"Yes","-"),"?"))))</f>
        <v/>
      </c>
      <c r="O9" s="8">
        <f>IF($F9="(none - every role)","All",IF($F9="DEV","Dev build",IF($F9="GUEST","n/a - guest",IFERROR(IF(INDEX('Permission matrix'!$B$2:$J$56,MATCH($F9,'Permission matrix'!$A$2:$A$56,0),MATCH(O$1,'Permission matrix'!$B$1:$J$1,0))=1,"Yes","-"),"?"))))</f>
        <v/>
      </c>
    </row>
    <row r="10">
      <c r="A10" s="5" t="inlineStr">
        <is>
          <t>Recipes &amp; costing</t>
        </is>
      </c>
      <c r="B10" s="6" t="inlineStr">
        <is>
          <t>Stock items &amp; recipes</t>
        </is>
      </c>
      <c r="C10" s="6" t="inlineStr">
        <is>
          <t>/stock</t>
        </is>
      </c>
      <c r="D10" s="6" t="inlineStr">
        <is>
          <t>Staff (web/PWA)</t>
        </is>
      </c>
      <c r="E10" s="7" t="inlineStr">
        <is>
          <t>Ingredient master and the recipes built from it. Writes need recipe.manage.</t>
        </is>
      </c>
      <c r="F10" s="6" t="inlineStr">
        <is>
          <t>recipe.view</t>
        </is>
      </c>
      <c r="G10" s="8">
        <f>IF($F10="(none - every role)","All",IF($F10="DEV","Dev build",IF($F10="GUEST","n/a - guest",IFERROR(IF(INDEX('Permission matrix'!$B$2:$J$56,MATCH($F10,'Permission matrix'!$A$2:$A$56,0),MATCH(G$1,'Permission matrix'!$B$1:$J$1,0))=1,"Yes","-"),"?"))))</f>
        <v/>
      </c>
      <c r="H10" s="8">
        <f>IF($F10="(none - every role)","All",IF($F10="DEV","Dev build",IF($F10="GUEST","n/a - guest",IFERROR(IF(INDEX('Permission matrix'!$B$2:$J$56,MATCH($F10,'Permission matrix'!$A$2:$A$56,0),MATCH(H$1,'Permission matrix'!$B$1:$J$1,0))=1,"Yes","-"),"?"))))</f>
        <v/>
      </c>
      <c r="I10" s="8">
        <f>IF($F10="(none - every role)","All",IF($F10="DEV","Dev build",IF($F10="GUEST","n/a - guest",IFERROR(IF(INDEX('Permission matrix'!$B$2:$J$56,MATCH($F10,'Permission matrix'!$A$2:$A$56,0),MATCH(I$1,'Permission matrix'!$B$1:$J$1,0))=1,"Yes","-"),"?"))))</f>
        <v/>
      </c>
      <c r="J10" s="8">
        <f>IF($F10="(none - every role)","All",IF($F10="DEV","Dev build",IF($F10="GUEST","n/a - guest",IFERROR(IF(INDEX('Permission matrix'!$B$2:$J$56,MATCH($F10,'Permission matrix'!$A$2:$A$56,0),MATCH(J$1,'Permission matrix'!$B$1:$J$1,0))=1,"Yes","-"),"?"))))</f>
        <v/>
      </c>
      <c r="K10" s="8">
        <f>IF($F10="(none - every role)","All",IF($F10="DEV","Dev build",IF($F10="GUEST","n/a - guest",IFERROR(IF(INDEX('Permission matrix'!$B$2:$J$56,MATCH($F10,'Permission matrix'!$A$2:$A$56,0),MATCH(K$1,'Permission matrix'!$B$1:$J$1,0))=1,"Yes","-"),"?"))))</f>
        <v/>
      </c>
      <c r="L10" s="8">
        <f>IF($F10="(none - every role)","All",IF($F10="DEV","Dev build",IF($F10="GUEST","n/a - guest",IFERROR(IF(INDEX('Permission matrix'!$B$2:$J$56,MATCH($F10,'Permission matrix'!$A$2:$A$56,0),MATCH(L$1,'Permission matrix'!$B$1:$J$1,0))=1,"Yes","-"),"?"))))</f>
        <v/>
      </c>
      <c r="M10" s="8">
        <f>IF($F10="(none - every role)","All",IF($F10="DEV","Dev build",IF($F10="GUEST","n/a - guest",IFERROR(IF(INDEX('Permission matrix'!$B$2:$J$56,MATCH($F10,'Permission matrix'!$A$2:$A$56,0),MATCH(M$1,'Permission matrix'!$B$1:$J$1,0))=1,"Yes","-"),"?"))))</f>
        <v/>
      </c>
      <c r="N10" s="8">
        <f>IF($F10="(none - every role)","All",IF($F10="DEV","Dev build",IF($F10="GUEST","n/a - guest",IFERROR(IF(INDEX('Permission matrix'!$B$2:$J$56,MATCH($F10,'Permission matrix'!$A$2:$A$56,0),MATCH(N$1,'Permission matrix'!$B$1:$J$1,0))=1,"Yes","-"),"?"))))</f>
        <v/>
      </c>
      <c r="O10" s="8">
        <f>IF($F10="(none - every role)","All",IF($F10="DEV","Dev build",IF($F10="GUEST","n/a - guest",IFERROR(IF(INDEX('Permission matrix'!$B$2:$J$56,MATCH($F10,'Permission matrix'!$A$2:$A$56,0),MATCH(O$1,'Permission matrix'!$B$1:$J$1,0))=1,"Yes","-"),"?"))))</f>
        <v/>
      </c>
    </row>
    <row r="11">
      <c r="A11" s="5" t="inlineStr">
        <is>
          <t>Recipes &amp; costing</t>
        </is>
      </c>
      <c r="B11" s="6" t="inlineStr">
        <is>
          <t>Recipe editor</t>
        </is>
      </c>
      <c r="C11" s="6" t="inlineStr">
        <is>
          <t>/recipes/:variantId</t>
        </is>
      </c>
      <c r="D11" s="6" t="inlineStr">
        <is>
          <t>Staff (web/PWA)</t>
        </is>
      </c>
      <c r="E11" s="7" t="inlineStr">
        <is>
          <t>One variant's recipe version: ingredients, quantities, yield. The chef's screen.</t>
        </is>
      </c>
      <c r="F11" s="6" t="inlineStr">
        <is>
          <t>recipe.view</t>
        </is>
      </c>
      <c r="G11" s="8">
        <f>IF($F11="(none - every role)","All",IF($F11="DEV","Dev build",IF($F11="GUEST","n/a - guest",IFERROR(IF(INDEX('Permission matrix'!$B$2:$J$56,MATCH($F11,'Permission matrix'!$A$2:$A$56,0),MATCH(G$1,'Permission matrix'!$B$1:$J$1,0))=1,"Yes","-"),"?"))))</f>
        <v/>
      </c>
      <c r="H11" s="8">
        <f>IF($F11="(none - every role)","All",IF($F11="DEV","Dev build",IF($F11="GUEST","n/a - guest",IFERROR(IF(INDEX('Permission matrix'!$B$2:$J$56,MATCH($F11,'Permission matrix'!$A$2:$A$56,0),MATCH(H$1,'Permission matrix'!$B$1:$J$1,0))=1,"Yes","-"),"?"))))</f>
        <v/>
      </c>
      <c r="I11" s="8">
        <f>IF($F11="(none - every role)","All",IF($F11="DEV","Dev build",IF($F11="GUEST","n/a - guest",IFERROR(IF(INDEX('Permission matrix'!$B$2:$J$56,MATCH($F11,'Permission matrix'!$A$2:$A$56,0),MATCH(I$1,'Permission matrix'!$B$1:$J$1,0))=1,"Yes","-"),"?"))))</f>
        <v/>
      </c>
      <c r="J11" s="8">
        <f>IF($F11="(none - every role)","All",IF($F11="DEV","Dev build",IF($F11="GUEST","n/a - guest",IFERROR(IF(INDEX('Permission matrix'!$B$2:$J$56,MATCH($F11,'Permission matrix'!$A$2:$A$56,0),MATCH(J$1,'Permission matrix'!$B$1:$J$1,0))=1,"Yes","-"),"?"))))</f>
        <v/>
      </c>
      <c r="K11" s="8">
        <f>IF($F11="(none - every role)","All",IF($F11="DEV","Dev build",IF($F11="GUEST","n/a - guest",IFERROR(IF(INDEX('Permission matrix'!$B$2:$J$56,MATCH($F11,'Permission matrix'!$A$2:$A$56,0),MATCH(K$1,'Permission matrix'!$B$1:$J$1,0))=1,"Yes","-"),"?"))))</f>
        <v/>
      </c>
      <c r="L11" s="8">
        <f>IF($F11="(none - every role)","All",IF($F11="DEV","Dev build",IF($F11="GUEST","n/a - guest",IFERROR(IF(INDEX('Permission matrix'!$B$2:$J$56,MATCH($F11,'Permission matrix'!$A$2:$A$56,0),MATCH(L$1,'Permission matrix'!$B$1:$J$1,0))=1,"Yes","-"),"?"))))</f>
        <v/>
      </c>
      <c r="M11" s="8">
        <f>IF($F11="(none - every role)","All",IF($F11="DEV","Dev build",IF($F11="GUEST","n/a - guest",IFERROR(IF(INDEX('Permission matrix'!$B$2:$J$56,MATCH($F11,'Permission matrix'!$A$2:$A$56,0),MATCH(M$1,'Permission matrix'!$B$1:$J$1,0))=1,"Yes","-"),"?"))))</f>
        <v/>
      </c>
      <c r="N11" s="8">
        <f>IF($F11="(none - every role)","All",IF($F11="DEV","Dev build",IF($F11="GUEST","n/a - guest",IFERROR(IF(INDEX('Permission matrix'!$B$2:$J$56,MATCH($F11,'Permission matrix'!$A$2:$A$56,0),MATCH(N$1,'Permission matrix'!$B$1:$J$1,0))=1,"Yes","-"),"?"))))</f>
        <v/>
      </c>
      <c r="O11" s="8">
        <f>IF($F11="(none - every role)","All",IF($F11="DEV","Dev build",IF($F11="GUEST","n/a - guest",IFERROR(IF(INDEX('Permission matrix'!$B$2:$J$56,MATCH($F11,'Permission matrix'!$A$2:$A$56,0),MATCH(O$1,'Permission matrix'!$B$1:$J$1,0))=1,"Yes","-"),"?"))))</f>
        <v/>
      </c>
    </row>
    <row r="12">
      <c r="A12" s="5" t="inlineStr">
        <is>
          <t>Recipes &amp; costing</t>
        </is>
      </c>
      <c r="B12" s="6" t="inlineStr">
        <is>
          <t>Dish cost</t>
        </is>
      </c>
      <c r="C12" s="6" t="inlineStr">
        <is>
          <t>/costs</t>
        </is>
      </c>
      <c r="D12" s="6" t="inlineStr">
        <is>
          <t>Staff (web/PWA)</t>
        </is>
      </c>
      <c r="E12" s="7" t="inlineStr">
        <is>
          <t>What each dish costs and earns. Deliberately not the chef's: grams, not rupees.</t>
        </is>
      </c>
      <c r="F12" s="6" t="inlineStr">
        <is>
          <t>cost.view</t>
        </is>
      </c>
      <c r="G12" s="8">
        <f>IF($F12="(none - every role)","All",IF($F12="DEV","Dev build",IF($F12="GUEST","n/a - guest",IFERROR(IF(INDEX('Permission matrix'!$B$2:$J$56,MATCH($F12,'Permission matrix'!$A$2:$A$56,0),MATCH(G$1,'Permission matrix'!$B$1:$J$1,0))=1,"Yes","-"),"?"))))</f>
        <v/>
      </c>
      <c r="H12" s="8">
        <f>IF($F12="(none - every role)","All",IF($F12="DEV","Dev build",IF($F12="GUEST","n/a - guest",IFERROR(IF(INDEX('Permission matrix'!$B$2:$J$56,MATCH($F12,'Permission matrix'!$A$2:$A$56,0),MATCH(H$1,'Permission matrix'!$B$1:$J$1,0))=1,"Yes","-"),"?"))))</f>
        <v/>
      </c>
      <c r="I12" s="8">
        <f>IF($F12="(none - every role)","All",IF($F12="DEV","Dev build",IF($F12="GUEST","n/a - guest",IFERROR(IF(INDEX('Permission matrix'!$B$2:$J$56,MATCH($F12,'Permission matrix'!$A$2:$A$56,0),MATCH(I$1,'Permission matrix'!$B$1:$J$1,0))=1,"Yes","-"),"?"))))</f>
        <v/>
      </c>
      <c r="J12" s="8">
        <f>IF($F12="(none - every role)","All",IF($F12="DEV","Dev build",IF($F12="GUEST","n/a - guest",IFERROR(IF(INDEX('Permission matrix'!$B$2:$J$56,MATCH($F12,'Permission matrix'!$A$2:$A$56,0),MATCH(J$1,'Permission matrix'!$B$1:$J$1,0))=1,"Yes","-"),"?"))))</f>
        <v/>
      </c>
      <c r="K12" s="8">
        <f>IF($F12="(none - every role)","All",IF($F12="DEV","Dev build",IF($F12="GUEST","n/a - guest",IFERROR(IF(INDEX('Permission matrix'!$B$2:$J$56,MATCH($F12,'Permission matrix'!$A$2:$A$56,0),MATCH(K$1,'Permission matrix'!$B$1:$J$1,0))=1,"Yes","-"),"?"))))</f>
        <v/>
      </c>
      <c r="L12" s="8">
        <f>IF($F12="(none - every role)","All",IF($F12="DEV","Dev build",IF($F12="GUEST","n/a - guest",IFERROR(IF(INDEX('Permission matrix'!$B$2:$J$56,MATCH($F12,'Permission matrix'!$A$2:$A$56,0),MATCH(L$1,'Permission matrix'!$B$1:$J$1,0))=1,"Yes","-"),"?"))))</f>
        <v/>
      </c>
      <c r="M12" s="8">
        <f>IF($F12="(none - every role)","All",IF($F12="DEV","Dev build",IF($F12="GUEST","n/a - guest",IFERROR(IF(INDEX('Permission matrix'!$B$2:$J$56,MATCH($F12,'Permission matrix'!$A$2:$A$56,0),MATCH(M$1,'Permission matrix'!$B$1:$J$1,0))=1,"Yes","-"),"?"))))</f>
        <v/>
      </c>
      <c r="N12" s="8">
        <f>IF($F12="(none - every role)","All",IF($F12="DEV","Dev build",IF($F12="GUEST","n/a - guest",IFERROR(IF(INDEX('Permission matrix'!$B$2:$J$56,MATCH($F12,'Permission matrix'!$A$2:$A$56,0),MATCH(N$1,'Permission matrix'!$B$1:$J$1,0))=1,"Yes","-"),"?"))))</f>
        <v/>
      </c>
      <c r="O12" s="8">
        <f>IF($F12="(none - every role)","All",IF($F12="DEV","Dev build",IF($F12="GUEST","n/a - guest",IFERROR(IF(INDEX('Permission matrix'!$B$2:$J$56,MATCH($F12,'Permission matrix'!$A$2:$A$56,0),MATCH(O$1,'Permission matrix'!$B$1:$J$1,0))=1,"Yes","-"),"?"))))</f>
        <v/>
      </c>
    </row>
    <row r="13">
      <c r="A13" s="5" t="inlineStr">
        <is>
          <t>Inventory management</t>
        </is>
      </c>
      <c r="B13" s="6" t="inlineStr">
        <is>
          <t>Stock on hand</t>
        </is>
      </c>
      <c r="C13" s="6" t="inlineStr">
        <is>
          <t>/stock/on-hand</t>
        </is>
      </c>
      <c r="D13" s="6" t="inlineStr">
        <is>
          <t>Staff (web/PWA)</t>
        </is>
      </c>
      <c r="E13" s="7" t="inlineStr">
        <is>
          <t>Current position derived from the movement ledger, plus what is expiring.</t>
        </is>
      </c>
      <c r="F13" s="6" t="inlineStr">
        <is>
          <t>stock.view</t>
        </is>
      </c>
      <c r="G13" s="8">
        <f>IF($F13="(none - every role)","All",IF($F13="DEV","Dev build",IF($F13="GUEST","n/a - guest",IFERROR(IF(INDEX('Permission matrix'!$B$2:$J$56,MATCH($F13,'Permission matrix'!$A$2:$A$56,0),MATCH(G$1,'Permission matrix'!$B$1:$J$1,0))=1,"Yes","-"),"?"))))</f>
        <v/>
      </c>
      <c r="H13" s="8">
        <f>IF($F13="(none - every role)","All",IF($F13="DEV","Dev build",IF($F13="GUEST","n/a - guest",IFERROR(IF(INDEX('Permission matrix'!$B$2:$J$56,MATCH($F13,'Permission matrix'!$A$2:$A$56,0),MATCH(H$1,'Permission matrix'!$B$1:$J$1,0))=1,"Yes","-"),"?"))))</f>
        <v/>
      </c>
      <c r="I13" s="8">
        <f>IF($F13="(none - every role)","All",IF($F13="DEV","Dev build",IF($F13="GUEST","n/a - guest",IFERROR(IF(INDEX('Permission matrix'!$B$2:$J$56,MATCH($F13,'Permission matrix'!$A$2:$A$56,0),MATCH(I$1,'Permission matrix'!$B$1:$J$1,0))=1,"Yes","-"),"?"))))</f>
        <v/>
      </c>
      <c r="J13" s="8">
        <f>IF($F13="(none - every role)","All",IF($F13="DEV","Dev build",IF($F13="GUEST","n/a - guest",IFERROR(IF(INDEX('Permission matrix'!$B$2:$J$56,MATCH($F13,'Permission matrix'!$A$2:$A$56,0),MATCH(J$1,'Permission matrix'!$B$1:$J$1,0))=1,"Yes","-"),"?"))))</f>
        <v/>
      </c>
      <c r="K13" s="8">
        <f>IF($F13="(none - every role)","All",IF($F13="DEV","Dev build",IF($F13="GUEST","n/a - guest",IFERROR(IF(INDEX('Permission matrix'!$B$2:$J$56,MATCH($F13,'Permission matrix'!$A$2:$A$56,0),MATCH(K$1,'Permission matrix'!$B$1:$J$1,0))=1,"Yes","-"),"?"))))</f>
        <v/>
      </c>
      <c r="L13" s="8">
        <f>IF($F13="(none - every role)","All",IF($F13="DEV","Dev build",IF($F13="GUEST","n/a - guest",IFERROR(IF(INDEX('Permission matrix'!$B$2:$J$56,MATCH($F13,'Permission matrix'!$A$2:$A$56,0),MATCH(L$1,'Permission matrix'!$B$1:$J$1,0))=1,"Yes","-"),"?"))))</f>
        <v/>
      </c>
      <c r="M13" s="8">
        <f>IF($F13="(none - every role)","All",IF($F13="DEV","Dev build",IF($F13="GUEST","n/a - guest",IFERROR(IF(INDEX('Permission matrix'!$B$2:$J$56,MATCH($F13,'Permission matrix'!$A$2:$A$56,0),MATCH(M$1,'Permission matrix'!$B$1:$J$1,0))=1,"Yes","-"),"?"))))</f>
        <v/>
      </c>
      <c r="N13" s="8">
        <f>IF($F13="(none - every role)","All",IF($F13="DEV","Dev build",IF($F13="GUEST","n/a - guest",IFERROR(IF(INDEX('Permission matrix'!$B$2:$J$56,MATCH($F13,'Permission matrix'!$A$2:$A$56,0),MATCH(N$1,'Permission matrix'!$B$1:$J$1,0))=1,"Yes","-"),"?"))))</f>
        <v/>
      </c>
      <c r="O13" s="8">
        <f>IF($F13="(none - every role)","All",IF($F13="DEV","Dev build",IF($F13="GUEST","n/a - guest",IFERROR(IF(INDEX('Permission matrix'!$B$2:$J$56,MATCH($F13,'Permission matrix'!$A$2:$A$56,0),MATCH(O$1,'Permission matrix'!$B$1:$J$1,0))=1,"Yes","-"),"?"))))</f>
        <v/>
      </c>
    </row>
    <row r="14">
      <c r="A14" s="5" t="inlineStr">
        <is>
          <t>Inventory management</t>
        </is>
      </c>
      <c r="B14" s="6" t="inlineStr">
        <is>
          <t>Receive stock</t>
        </is>
      </c>
      <c r="C14" s="6" t="inlineStr">
        <is>
          <t>/stock/receive</t>
        </is>
      </c>
      <c r="D14" s="6" t="inlineStr">
        <is>
          <t>Staff (web/PWA)</t>
        </is>
      </c>
      <c r="E14" s="7" t="inlineStr">
        <is>
          <t>Book in a delivery. Writes the append-only stock ledger.</t>
        </is>
      </c>
      <c r="F14" s="6" t="inlineStr">
        <is>
          <t>stock.receive</t>
        </is>
      </c>
      <c r="G14" s="8">
        <f>IF($F14="(none - every role)","All",IF($F14="DEV","Dev build",IF($F14="GUEST","n/a - guest",IFERROR(IF(INDEX('Permission matrix'!$B$2:$J$56,MATCH($F14,'Permission matrix'!$A$2:$A$56,0),MATCH(G$1,'Permission matrix'!$B$1:$J$1,0))=1,"Yes","-"),"?"))))</f>
        <v/>
      </c>
      <c r="H14" s="8">
        <f>IF($F14="(none - every role)","All",IF($F14="DEV","Dev build",IF($F14="GUEST","n/a - guest",IFERROR(IF(INDEX('Permission matrix'!$B$2:$J$56,MATCH($F14,'Permission matrix'!$A$2:$A$56,0),MATCH(H$1,'Permission matrix'!$B$1:$J$1,0))=1,"Yes","-"),"?"))))</f>
        <v/>
      </c>
      <c r="I14" s="8">
        <f>IF($F14="(none - every role)","All",IF($F14="DEV","Dev build",IF($F14="GUEST","n/a - guest",IFERROR(IF(INDEX('Permission matrix'!$B$2:$J$56,MATCH($F14,'Permission matrix'!$A$2:$A$56,0),MATCH(I$1,'Permission matrix'!$B$1:$J$1,0))=1,"Yes","-"),"?"))))</f>
        <v/>
      </c>
      <c r="J14" s="8">
        <f>IF($F14="(none - every role)","All",IF($F14="DEV","Dev build",IF($F14="GUEST","n/a - guest",IFERROR(IF(INDEX('Permission matrix'!$B$2:$J$56,MATCH($F14,'Permission matrix'!$A$2:$A$56,0),MATCH(J$1,'Permission matrix'!$B$1:$J$1,0))=1,"Yes","-"),"?"))))</f>
        <v/>
      </c>
      <c r="K14" s="8">
        <f>IF($F14="(none - every role)","All",IF($F14="DEV","Dev build",IF($F14="GUEST","n/a - guest",IFERROR(IF(INDEX('Permission matrix'!$B$2:$J$56,MATCH($F14,'Permission matrix'!$A$2:$A$56,0),MATCH(K$1,'Permission matrix'!$B$1:$J$1,0))=1,"Yes","-"),"?"))))</f>
        <v/>
      </c>
      <c r="L14" s="8">
        <f>IF($F14="(none - every role)","All",IF($F14="DEV","Dev build",IF($F14="GUEST","n/a - guest",IFERROR(IF(INDEX('Permission matrix'!$B$2:$J$56,MATCH($F14,'Permission matrix'!$A$2:$A$56,0),MATCH(L$1,'Permission matrix'!$B$1:$J$1,0))=1,"Yes","-"),"?"))))</f>
        <v/>
      </c>
      <c r="M14" s="8">
        <f>IF($F14="(none - every role)","All",IF($F14="DEV","Dev build",IF($F14="GUEST","n/a - guest",IFERROR(IF(INDEX('Permission matrix'!$B$2:$J$56,MATCH($F14,'Permission matrix'!$A$2:$A$56,0),MATCH(M$1,'Permission matrix'!$B$1:$J$1,0))=1,"Yes","-"),"?"))))</f>
        <v/>
      </c>
      <c r="N14" s="8">
        <f>IF($F14="(none - every role)","All",IF($F14="DEV","Dev build",IF($F14="GUEST","n/a - guest",IFERROR(IF(INDEX('Permission matrix'!$B$2:$J$56,MATCH($F14,'Permission matrix'!$A$2:$A$56,0),MATCH(N$1,'Permission matrix'!$B$1:$J$1,0))=1,"Yes","-"),"?"))))</f>
        <v/>
      </c>
      <c r="O14" s="8">
        <f>IF($F14="(none - every role)","All",IF($F14="DEV","Dev build",IF($F14="GUEST","n/a - guest",IFERROR(IF(INDEX('Permission matrix'!$B$2:$J$56,MATCH($F14,'Permission matrix'!$A$2:$A$56,0),MATCH(O$1,'Permission matrix'!$B$1:$J$1,0))=1,"Yes","-"),"?"))))</f>
        <v/>
      </c>
    </row>
    <row r="15">
      <c r="A15" s="5" t="inlineStr">
        <is>
          <t>Inventory management</t>
        </is>
      </c>
      <c r="B15" s="6" t="inlineStr">
        <is>
          <t>Produce batch</t>
        </is>
      </c>
      <c r="C15" s="6" t="inlineStr">
        <is>
          <t>/stock/produce</t>
        </is>
      </c>
      <c r="D15" s="6" t="inlineStr">
        <is>
          <t>Staff (web/PWA)</t>
        </is>
      </c>
      <c r="E15" s="7" t="inlineStr">
        <is>
          <t>Make a preparation batch, consuming its inputs. The chef holds this, not receiving.</t>
        </is>
      </c>
      <c r="F15" s="6" t="inlineStr">
        <is>
          <t>stock.produce</t>
        </is>
      </c>
      <c r="G15" s="8">
        <f>IF($F15="(none - every role)","All",IF($F15="DEV","Dev build",IF($F15="GUEST","n/a - guest",IFERROR(IF(INDEX('Permission matrix'!$B$2:$J$56,MATCH($F15,'Permission matrix'!$A$2:$A$56,0),MATCH(G$1,'Permission matrix'!$B$1:$J$1,0))=1,"Yes","-"),"?"))))</f>
        <v/>
      </c>
      <c r="H15" s="8">
        <f>IF($F15="(none - every role)","All",IF($F15="DEV","Dev build",IF($F15="GUEST","n/a - guest",IFERROR(IF(INDEX('Permission matrix'!$B$2:$J$56,MATCH($F15,'Permission matrix'!$A$2:$A$56,0),MATCH(H$1,'Permission matrix'!$B$1:$J$1,0))=1,"Yes","-"),"?"))))</f>
        <v/>
      </c>
      <c r="I15" s="8">
        <f>IF($F15="(none - every role)","All",IF($F15="DEV","Dev build",IF($F15="GUEST","n/a - guest",IFERROR(IF(INDEX('Permission matrix'!$B$2:$J$56,MATCH($F15,'Permission matrix'!$A$2:$A$56,0),MATCH(I$1,'Permission matrix'!$B$1:$J$1,0))=1,"Yes","-"),"?"))))</f>
        <v/>
      </c>
      <c r="J15" s="8">
        <f>IF($F15="(none - every role)","All",IF($F15="DEV","Dev build",IF($F15="GUEST","n/a - guest",IFERROR(IF(INDEX('Permission matrix'!$B$2:$J$56,MATCH($F15,'Permission matrix'!$A$2:$A$56,0),MATCH(J$1,'Permission matrix'!$B$1:$J$1,0))=1,"Yes","-"),"?"))))</f>
        <v/>
      </c>
      <c r="K15" s="8">
        <f>IF($F15="(none - every role)","All",IF($F15="DEV","Dev build",IF($F15="GUEST","n/a - guest",IFERROR(IF(INDEX('Permission matrix'!$B$2:$J$56,MATCH($F15,'Permission matrix'!$A$2:$A$56,0),MATCH(K$1,'Permission matrix'!$B$1:$J$1,0))=1,"Yes","-"),"?"))))</f>
        <v/>
      </c>
      <c r="L15" s="8">
        <f>IF($F15="(none - every role)","All",IF($F15="DEV","Dev build",IF($F15="GUEST","n/a - guest",IFERROR(IF(INDEX('Permission matrix'!$B$2:$J$56,MATCH($F15,'Permission matrix'!$A$2:$A$56,0),MATCH(L$1,'Permission matrix'!$B$1:$J$1,0))=1,"Yes","-"),"?"))))</f>
        <v/>
      </c>
      <c r="M15" s="8">
        <f>IF($F15="(none - every role)","All",IF($F15="DEV","Dev build",IF($F15="GUEST","n/a - guest",IFERROR(IF(INDEX('Permission matrix'!$B$2:$J$56,MATCH($F15,'Permission matrix'!$A$2:$A$56,0),MATCH(M$1,'Permission matrix'!$B$1:$J$1,0))=1,"Yes","-"),"?"))))</f>
        <v/>
      </c>
      <c r="N15" s="8">
        <f>IF($F15="(none - every role)","All",IF($F15="DEV","Dev build",IF($F15="GUEST","n/a - guest",IFERROR(IF(INDEX('Permission matrix'!$B$2:$J$56,MATCH($F15,'Permission matrix'!$A$2:$A$56,0),MATCH(N$1,'Permission matrix'!$B$1:$J$1,0))=1,"Yes","-"),"?"))))</f>
        <v/>
      </c>
      <c r="O15" s="8">
        <f>IF($F15="(none - every role)","All",IF($F15="DEV","Dev build",IF($F15="GUEST","n/a - guest",IFERROR(IF(INDEX('Permission matrix'!$B$2:$J$56,MATCH($F15,'Permission matrix'!$A$2:$A$56,0),MATCH(O$1,'Permission matrix'!$B$1:$J$1,0))=1,"Yes","-"),"?"))))</f>
        <v/>
      </c>
    </row>
    <row r="16">
      <c r="A16" s="5" t="inlineStr">
        <is>
          <t>Inventory management</t>
        </is>
      </c>
      <c r="B16" s="6" t="inlineStr">
        <is>
          <t>Stock count</t>
        </is>
      </c>
      <c r="C16" s="6" t="inlineStr">
        <is>
          <t>/stock/count</t>
        </is>
      </c>
      <c r="D16" s="6" t="inlineStr">
        <is>
          <t>Staff (web/PWA)</t>
        </is>
      </c>
      <c r="E16" s="7" t="inlineStr">
        <is>
          <t>Count sheet and approval. The approver may not be the counter, enforced in the database.</t>
        </is>
      </c>
      <c r="F16" s="6" t="inlineStr">
        <is>
          <t>stock.count</t>
        </is>
      </c>
      <c r="G16" s="8">
        <f>IF($F16="(none - every role)","All",IF($F16="DEV","Dev build",IF($F16="GUEST","n/a - guest",IFERROR(IF(INDEX('Permission matrix'!$B$2:$J$56,MATCH($F16,'Permission matrix'!$A$2:$A$56,0),MATCH(G$1,'Permission matrix'!$B$1:$J$1,0))=1,"Yes","-"),"?"))))</f>
        <v/>
      </c>
      <c r="H16" s="8">
        <f>IF($F16="(none - every role)","All",IF($F16="DEV","Dev build",IF($F16="GUEST","n/a - guest",IFERROR(IF(INDEX('Permission matrix'!$B$2:$J$56,MATCH($F16,'Permission matrix'!$A$2:$A$56,0),MATCH(H$1,'Permission matrix'!$B$1:$J$1,0))=1,"Yes","-"),"?"))))</f>
        <v/>
      </c>
      <c r="I16" s="8">
        <f>IF($F16="(none - every role)","All",IF($F16="DEV","Dev build",IF($F16="GUEST","n/a - guest",IFERROR(IF(INDEX('Permission matrix'!$B$2:$J$56,MATCH($F16,'Permission matrix'!$A$2:$A$56,0),MATCH(I$1,'Permission matrix'!$B$1:$J$1,0))=1,"Yes","-"),"?"))))</f>
        <v/>
      </c>
      <c r="J16" s="8">
        <f>IF($F16="(none - every role)","All",IF($F16="DEV","Dev build",IF($F16="GUEST","n/a - guest",IFERROR(IF(INDEX('Permission matrix'!$B$2:$J$56,MATCH($F16,'Permission matrix'!$A$2:$A$56,0),MATCH(J$1,'Permission matrix'!$B$1:$J$1,0))=1,"Yes","-"),"?"))))</f>
        <v/>
      </c>
      <c r="K16" s="8">
        <f>IF($F16="(none - every role)","All",IF($F16="DEV","Dev build",IF($F16="GUEST","n/a - guest",IFERROR(IF(INDEX('Permission matrix'!$B$2:$J$56,MATCH($F16,'Permission matrix'!$A$2:$A$56,0),MATCH(K$1,'Permission matrix'!$B$1:$J$1,0))=1,"Yes","-"),"?"))))</f>
        <v/>
      </c>
      <c r="L16" s="8">
        <f>IF($F16="(none - every role)","All",IF($F16="DEV","Dev build",IF($F16="GUEST","n/a - guest",IFERROR(IF(INDEX('Permission matrix'!$B$2:$J$56,MATCH($F16,'Permission matrix'!$A$2:$A$56,0),MATCH(L$1,'Permission matrix'!$B$1:$J$1,0))=1,"Yes","-"),"?"))))</f>
        <v/>
      </c>
      <c r="M16" s="8">
        <f>IF($F16="(none - every role)","All",IF($F16="DEV","Dev build",IF($F16="GUEST","n/a - guest",IFERROR(IF(INDEX('Permission matrix'!$B$2:$J$56,MATCH($F16,'Permission matrix'!$A$2:$A$56,0),MATCH(M$1,'Permission matrix'!$B$1:$J$1,0))=1,"Yes","-"),"?"))))</f>
        <v/>
      </c>
      <c r="N16" s="8">
        <f>IF($F16="(none - every role)","All",IF($F16="DEV","Dev build",IF($F16="GUEST","n/a - guest",IFERROR(IF(INDEX('Permission matrix'!$B$2:$J$56,MATCH($F16,'Permission matrix'!$A$2:$A$56,0),MATCH(N$1,'Permission matrix'!$B$1:$J$1,0))=1,"Yes","-"),"?"))))</f>
        <v/>
      </c>
      <c r="O16" s="8">
        <f>IF($F16="(none - every role)","All",IF($F16="DEV","Dev build",IF($F16="GUEST","n/a - guest",IFERROR(IF(INDEX('Permission matrix'!$B$2:$J$56,MATCH($F16,'Permission matrix'!$A$2:$A$56,0),MATCH(O$1,'Permission matrix'!$B$1:$J$1,0))=1,"Yes","-"),"?"))))</f>
        <v/>
      </c>
    </row>
    <row r="17">
      <c r="A17" s="5" t="inlineStr">
        <is>
          <t>Waste management</t>
        </is>
      </c>
      <c r="B17" s="6" t="inlineStr">
        <is>
          <t>Log waste</t>
        </is>
      </c>
      <c r="C17" s="6" t="inlineStr">
        <is>
          <t>/waste</t>
        </is>
      </c>
      <c r="D17" s="6" t="inlineStr">
        <is>
          <t>Staff (web/PWA)</t>
        </is>
      </c>
      <c r="E17" s="7" t="inlineStr">
        <is>
          <t>Record what was thrown away and why. Cost computed server-side from the real batches.</t>
        </is>
      </c>
      <c r="F17" s="6" t="inlineStr">
        <is>
          <t>wastage.log</t>
        </is>
      </c>
      <c r="G17" s="8">
        <f>IF($F17="(none - every role)","All",IF($F17="DEV","Dev build",IF($F17="GUEST","n/a - guest",IFERROR(IF(INDEX('Permission matrix'!$B$2:$J$56,MATCH($F17,'Permission matrix'!$A$2:$A$56,0),MATCH(G$1,'Permission matrix'!$B$1:$J$1,0))=1,"Yes","-"),"?"))))</f>
        <v/>
      </c>
      <c r="H17" s="8">
        <f>IF($F17="(none - every role)","All",IF($F17="DEV","Dev build",IF($F17="GUEST","n/a - guest",IFERROR(IF(INDEX('Permission matrix'!$B$2:$J$56,MATCH($F17,'Permission matrix'!$A$2:$A$56,0),MATCH(H$1,'Permission matrix'!$B$1:$J$1,0))=1,"Yes","-"),"?"))))</f>
        <v/>
      </c>
      <c r="I17" s="8">
        <f>IF($F17="(none - every role)","All",IF($F17="DEV","Dev build",IF($F17="GUEST","n/a - guest",IFERROR(IF(INDEX('Permission matrix'!$B$2:$J$56,MATCH($F17,'Permission matrix'!$A$2:$A$56,0),MATCH(I$1,'Permission matrix'!$B$1:$J$1,0))=1,"Yes","-"),"?"))))</f>
        <v/>
      </c>
      <c r="J17" s="8">
        <f>IF($F17="(none - every role)","All",IF($F17="DEV","Dev build",IF($F17="GUEST","n/a - guest",IFERROR(IF(INDEX('Permission matrix'!$B$2:$J$56,MATCH($F17,'Permission matrix'!$A$2:$A$56,0),MATCH(J$1,'Permission matrix'!$B$1:$J$1,0))=1,"Yes","-"),"?"))))</f>
        <v/>
      </c>
      <c r="K17" s="8">
        <f>IF($F17="(none - every role)","All",IF($F17="DEV","Dev build",IF($F17="GUEST","n/a - guest",IFERROR(IF(INDEX('Permission matrix'!$B$2:$J$56,MATCH($F17,'Permission matrix'!$A$2:$A$56,0),MATCH(K$1,'Permission matrix'!$B$1:$J$1,0))=1,"Yes","-"),"?"))))</f>
        <v/>
      </c>
      <c r="L17" s="8">
        <f>IF($F17="(none - every role)","All",IF($F17="DEV","Dev build",IF($F17="GUEST","n/a - guest",IFERROR(IF(INDEX('Permission matrix'!$B$2:$J$56,MATCH($F17,'Permission matrix'!$A$2:$A$56,0),MATCH(L$1,'Permission matrix'!$B$1:$J$1,0))=1,"Yes","-"),"?"))))</f>
        <v/>
      </c>
      <c r="M17" s="8">
        <f>IF($F17="(none - every role)","All",IF($F17="DEV","Dev build",IF($F17="GUEST","n/a - guest",IFERROR(IF(INDEX('Permission matrix'!$B$2:$J$56,MATCH($F17,'Permission matrix'!$A$2:$A$56,0),MATCH(M$1,'Permission matrix'!$B$1:$J$1,0))=1,"Yes","-"),"?"))))</f>
        <v/>
      </c>
      <c r="N17" s="8">
        <f>IF($F17="(none - every role)","All",IF($F17="DEV","Dev build",IF($F17="GUEST","n/a - guest",IFERROR(IF(INDEX('Permission matrix'!$B$2:$J$56,MATCH($F17,'Permission matrix'!$A$2:$A$56,0),MATCH(N$1,'Permission matrix'!$B$1:$J$1,0))=1,"Yes","-"),"?"))))</f>
        <v/>
      </c>
      <c r="O17" s="8">
        <f>IF($F17="(none - every role)","All",IF($F17="DEV","Dev build",IF($F17="GUEST","n/a - guest",IFERROR(IF(INDEX('Permission matrix'!$B$2:$J$56,MATCH($F17,'Permission matrix'!$A$2:$A$56,0),MATCH(O$1,'Permission matrix'!$B$1:$J$1,0))=1,"Yes","-"),"?"))))</f>
        <v/>
      </c>
    </row>
    <row r="18">
      <c r="A18" s="5" t="inlineStr">
        <is>
          <t>Waste management</t>
        </is>
      </c>
      <c r="B18" s="6" t="inlineStr">
        <is>
          <t>Waste summary</t>
        </is>
      </c>
      <c r="C18" s="6" t="inlineStr">
        <is>
          <t>/waste/summary</t>
        </is>
      </c>
      <c r="D18" s="6" t="inlineStr">
        <is>
          <t>Staff (web/PWA)</t>
        </is>
      </c>
      <c r="E18" s="7" t="inlineStr">
        <is>
          <t>What was thrown away, by reason and by item. Seeing is not the same power as doing.</t>
        </is>
      </c>
      <c r="F18" s="6" t="inlineStr">
        <is>
          <t>stock.view</t>
        </is>
      </c>
      <c r="G18" s="8">
        <f>IF($F18="(none - every role)","All",IF($F18="DEV","Dev build",IF($F18="GUEST","n/a - guest",IFERROR(IF(INDEX('Permission matrix'!$B$2:$J$56,MATCH($F18,'Permission matrix'!$A$2:$A$56,0),MATCH(G$1,'Permission matrix'!$B$1:$J$1,0))=1,"Yes","-"),"?"))))</f>
        <v/>
      </c>
      <c r="H18" s="8">
        <f>IF($F18="(none - every role)","All",IF($F18="DEV","Dev build",IF($F18="GUEST","n/a - guest",IFERROR(IF(INDEX('Permission matrix'!$B$2:$J$56,MATCH($F18,'Permission matrix'!$A$2:$A$56,0),MATCH(H$1,'Permission matrix'!$B$1:$J$1,0))=1,"Yes","-"),"?"))))</f>
        <v/>
      </c>
      <c r="I18" s="8">
        <f>IF($F18="(none - every role)","All",IF($F18="DEV","Dev build",IF($F18="GUEST","n/a - guest",IFERROR(IF(INDEX('Permission matrix'!$B$2:$J$56,MATCH($F18,'Permission matrix'!$A$2:$A$56,0),MATCH(I$1,'Permission matrix'!$B$1:$J$1,0))=1,"Yes","-"),"?"))))</f>
        <v/>
      </c>
      <c r="J18" s="8">
        <f>IF($F18="(none - every role)","All",IF($F18="DEV","Dev build",IF($F18="GUEST","n/a - guest",IFERROR(IF(INDEX('Permission matrix'!$B$2:$J$56,MATCH($F18,'Permission matrix'!$A$2:$A$56,0),MATCH(J$1,'Permission matrix'!$B$1:$J$1,0))=1,"Yes","-"),"?"))))</f>
        <v/>
      </c>
      <c r="K18" s="8">
        <f>IF($F18="(none - every role)","All",IF($F18="DEV","Dev build",IF($F18="GUEST","n/a - guest",IFERROR(IF(INDEX('Permission matrix'!$B$2:$J$56,MATCH($F18,'Permission matrix'!$A$2:$A$56,0),MATCH(K$1,'Permission matrix'!$B$1:$J$1,0))=1,"Yes","-"),"?"))))</f>
        <v/>
      </c>
      <c r="L18" s="8">
        <f>IF($F18="(none - every role)","All",IF($F18="DEV","Dev build",IF($F18="GUEST","n/a - guest",IFERROR(IF(INDEX('Permission matrix'!$B$2:$J$56,MATCH($F18,'Permission matrix'!$A$2:$A$56,0),MATCH(L$1,'Permission matrix'!$B$1:$J$1,0))=1,"Yes","-"),"?"))))</f>
        <v/>
      </c>
      <c r="M18" s="8">
        <f>IF($F18="(none - every role)","All",IF($F18="DEV","Dev build",IF($F18="GUEST","n/a - guest",IFERROR(IF(INDEX('Permission matrix'!$B$2:$J$56,MATCH($F18,'Permission matrix'!$A$2:$A$56,0),MATCH(M$1,'Permission matrix'!$B$1:$J$1,0))=1,"Yes","-"),"?"))))</f>
        <v/>
      </c>
      <c r="N18" s="8">
        <f>IF($F18="(none - every role)","All",IF($F18="DEV","Dev build",IF($F18="GUEST","n/a - guest",IFERROR(IF(INDEX('Permission matrix'!$B$2:$J$56,MATCH($F18,'Permission matrix'!$A$2:$A$56,0),MATCH(N$1,'Permission matrix'!$B$1:$J$1,0))=1,"Yes","-"),"?"))))</f>
        <v/>
      </c>
      <c r="O18" s="8">
        <f>IF($F18="(none - every role)","All",IF($F18="DEV","Dev build",IF($F18="GUEST","n/a - guest",IFERROR(IF(INDEX('Permission matrix'!$B$2:$J$56,MATCH($F18,'Permission matrix'!$A$2:$A$56,0),MATCH(O$1,'Permission matrix'!$B$1:$J$1,0))=1,"Yes","-"),"?"))))</f>
        <v/>
      </c>
    </row>
    <row r="19">
      <c r="A19" s="5" t="inlineStr">
        <is>
          <t>Supply chain / procurement</t>
        </is>
      </c>
      <c r="B19" s="6" t="inlineStr">
        <is>
          <t>Purchase orders</t>
        </is>
      </c>
      <c r="C19" s="6" t="inlineStr">
        <is>
          <t>/purchasing/orders</t>
        </is>
      </c>
      <c r="D19" s="6" t="inlineStr">
        <is>
          <t>Staff (web/PWA)</t>
        </is>
      </c>
      <c r="E19" s="7" t="inlineStr">
        <is>
          <t>Orders raised on suppliers and their status.</t>
        </is>
      </c>
      <c r="F19" s="6" t="inlineStr">
        <is>
          <t>supplier.view</t>
        </is>
      </c>
      <c r="G19" s="8">
        <f>IF($F19="(none - every role)","All",IF($F19="DEV","Dev build",IF($F19="GUEST","n/a - guest",IFERROR(IF(INDEX('Permission matrix'!$B$2:$J$56,MATCH($F19,'Permission matrix'!$A$2:$A$56,0),MATCH(G$1,'Permission matrix'!$B$1:$J$1,0))=1,"Yes","-"),"?"))))</f>
        <v/>
      </c>
      <c r="H19" s="8">
        <f>IF($F19="(none - every role)","All",IF($F19="DEV","Dev build",IF($F19="GUEST","n/a - guest",IFERROR(IF(INDEX('Permission matrix'!$B$2:$J$56,MATCH($F19,'Permission matrix'!$A$2:$A$56,0),MATCH(H$1,'Permission matrix'!$B$1:$J$1,0))=1,"Yes","-"),"?"))))</f>
        <v/>
      </c>
      <c r="I19" s="8">
        <f>IF($F19="(none - every role)","All",IF($F19="DEV","Dev build",IF($F19="GUEST","n/a - guest",IFERROR(IF(INDEX('Permission matrix'!$B$2:$J$56,MATCH($F19,'Permission matrix'!$A$2:$A$56,0),MATCH(I$1,'Permission matrix'!$B$1:$J$1,0))=1,"Yes","-"),"?"))))</f>
        <v/>
      </c>
      <c r="J19" s="8">
        <f>IF($F19="(none - every role)","All",IF($F19="DEV","Dev build",IF($F19="GUEST","n/a - guest",IFERROR(IF(INDEX('Permission matrix'!$B$2:$J$56,MATCH($F19,'Permission matrix'!$A$2:$A$56,0),MATCH(J$1,'Permission matrix'!$B$1:$J$1,0))=1,"Yes","-"),"?"))))</f>
        <v/>
      </c>
      <c r="K19" s="8">
        <f>IF($F19="(none - every role)","All",IF($F19="DEV","Dev build",IF($F19="GUEST","n/a - guest",IFERROR(IF(INDEX('Permission matrix'!$B$2:$J$56,MATCH($F19,'Permission matrix'!$A$2:$A$56,0),MATCH(K$1,'Permission matrix'!$B$1:$J$1,0))=1,"Yes","-"),"?"))))</f>
        <v/>
      </c>
      <c r="L19" s="8">
        <f>IF($F19="(none - every role)","All",IF($F19="DEV","Dev build",IF($F19="GUEST","n/a - guest",IFERROR(IF(INDEX('Permission matrix'!$B$2:$J$56,MATCH($F19,'Permission matrix'!$A$2:$A$56,0),MATCH(L$1,'Permission matrix'!$B$1:$J$1,0))=1,"Yes","-"),"?"))))</f>
        <v/>
      </c>
      <c r="M19" s="8">
        <f>IF($F19="(none - every role)","All",IF($F19="DEV","Dev build",IF($F19="GUEST","n/a - guest",IFERROR(IF(INDEX('Permission matrix'!$B$2:$J$56,MATCH($F19,'Permission matrix'!$A$2:$A$56,0),MATCH(M$1,'Permission matrix'!$B$1:$J$1,0))=1,"Yes","-"),"?"))))</f>
        <v/>
      </c>
      <c r="N19" s="8">
        <f>IF($F19="(none - every role)","All",IF($F19="DEV","Dev build",IF($F19="GUEST","n/a - guest",IFERROR(IF(INDEX('Permission matrix'!$B$2:$J$56,MATCH($F19,'Permission matrix'!$A$2:$A$56,0),MATCH(N$1,'Permission matrix'!$B$1:$J$1,0))=1,"Yes","-"),"?"))))</f>
        <v/>
      </c>
      <c r="O19" s="8">
        <f>IF($F19="(none - every role)","All",IF($F19="DEV","Dev build",IF($F19="GUEST","n/a - guest",IFERROR(IF(INDEX('Permission matrix'!$B$2:$J$56,MATCH($F19,'Permission matrix'!$A$2:$A$56,0),MATCH(O$1,'Permission matrix'!$B$1:$J$1,0))=1,"Yes","-"),"?"))))</f>
        <v/>
      </c>
    </row>
    <row r="20">
      <c r="A20" s="5" t="inlineStr">
        <is>
          <t>Supply chain / procurement</t>
        </is>
      </c>
      <c r="B20" s="6" t="inlineStr">
        <is>
          <t>New purchase order</t>
        </is>
      </c>
      <c r="C20" s="6" t="inlineStr">
        <is>
          <t>/purchasing/orders/new</t>
        </is>
      </c>
      <c r="D20" s="6" t="inlineStr">
        <is>
          <t>Staff (web/PWA)</t>
        </is>
      </c>
      <c r="E20" s="7" t="inlineStr">
        <is>
          <t>Raise and send an order to a supplier.</t>
        </is>
      </c>
      <c r="F20" s="6" t="inlineStr">
        <is>
          <t>purchase.manage</t>
        </is>
      </c>
      <c r="G20" s="8">
        <f>IF($F20="(none - every role)","All",IF($F20="DEV","Dev build",IF($F20="GUEST","n/a - guest",IFERROR(IF(INDEX('Permission matrix'!$B$2:$J$56,MATCH($F20,'Permission matrix'!$A$2:$A$56,0),MATCH(G$1,'Permission matrix'!$B$1:$J$1,0))=1,"Yes","-"),"?"))))</f>
        <v/>
      </c>
      <c r="H20" s="8">
        <f>IF($F20="(none - every role)","All",IF($F20="DEV","Dev build",IF($F20="GUEST","n/a - guest",IFERROR(IF(INDEX('Permission matrix'!$B$2:$J$56,MATCH($F20,'Permission matrix'!$A$2:$A$56,0),MATCH(H$1,'Permission matrix'!$B$1:$J$1,0))=1,"Yes","-"),"?"))))</f>
        <v/>
      </c>
      <c r="I20" s="8">
        <f>IF($F20="(none - every role)","All",IF($F20="DEV","Dev build",IF($F20="GUEST","n/a - guest",IFERROR(IF(INDEX('Permission matrix'!$B$2:$J$56,MATCH($F20,'Permission matrix'!$A$2:$A$56,0),MATCH(I$1,'Permission matrix'!$B$1:$J$1,0))=1,"Yes","-"),"?"))))</f>
        <v/>
      </c>
      <c r="J20" s="8">
        <f>IF($F20="(none - every role)","All",IF($F20="DEV","Dev build",IF($F20="GUEST","n/a - guest",IFERROR(IF(INDEX('Permission matrix'!$B$2:$J$56,MATCH($F20,'Permission matrix'!$A$2:$A$56,0),MATCH(J$1,'Permission matrix'!$B$1:$J$1,0))=1,"Yes","-"),"?"))))</f>
        <v/>
      </c>
      <c r="K20" s="8">
        <f>IF($F20="(none - every role)","All",IF($F20="DEV","Dev build",IF($F20="GUEST","n/a - guest",IFERROR(IF(INDEX('Permission matrix'!$B$2:$J$56,MATCH($F20,'Permission matrix'!$A$2:$A$56,0),MATCH(K$1,'Permission matrix'!$B$1:$J$1,0))=1,"Yes","-"),"?"))))</f>
        <v/>
      </c>
      <c r="L20" s="8">
        <f>IF($F20="(none - every role)","All",IF($F20="DEV","Dev build",IF($F20="GUEST","n/a - guest",IFERROR(IF(INDEX('Permission matrix'!$B$2:$J$56,MATCH($F20,'Permission matrix'!$A$2:$A$56,0),MATCH(L$1,'Permission matrix'!$B$1:$J$1,0))=1,"Yes","-"),"?"))))</f>
        <v/>
      </c>
      <c r="M20" s="8">
        <f>IF($F20="(none - every role)","All",IF($F20="DEV","Dev build",IF($F20="GUEST","n/a - guest",IFERROR(IF(INDEX('Permission matrix'!$B$2:$J$56,MATCH($F20,'Permission matrix'!$A$2:$A$56,0),MATCH(M$1,'Permission matrix'!$B$1:$J$1,0))=1,"Yes","-"),"?"))))</f>
        <v/>
      </c>
      <c r="N20" s="8">
        <f>IF($F20="(none - every role)","All",IF($F20="DEV","Dev build",IF($F20="GUEST","n/a - guest",IFERROR(IF(INDEX('Permission matrix'!$B$2:$J$56,MATCH($F20,'Permission matrix'!$A$2:$A$56,0),MATCH(N$1,'Permission matrix'!$B$1:$J$1,0))=1,"Yes","-"),"?"))))</f>
        <v/>
      </c>
      <c r="O20" s="8">
        <f>IF($F20="(none - every role)","All",IF($F20="DEV","Dev build",IF($F20="GUEST","n/a - guest",IFERROR(IF(INDEX('Permission matrix'!$B$2:$J$56,MATCH($F20,'Permission matrix'!$A$2:$A$56,0),MATCH(O$1,'Permission matrix'!$B$1:$J$1,0))=1,"Yes","-"),"?"))))</f>
        <v/>
      </c>
    </row>
    <row r="21">
      <c r="A21" s="5" t="inlineStr">
        <is>
          <t>Supply chain / procurement</t>
        </is>
      </c>
      <c r="B21" s="6" t="inlineStr">
        <is>
          <t>Goods receipt</t>
        </is>
      </c>
      <c r="C21" s="6" t="inlineStr">
        <is>
          <t>/purchasing/orders/:poId/receive</t>
        </is>
      </c>
      <c r="D21" s="6" t="inlineStr">
        <is>
          <t>Staff (web/PWA)</t>
        </is>
      </c>
      <c r="E21" s="7" t="inlineStr">
        <is>
          <t>Book in a delivery against its order. Behind the ledger's permission, not purchasing's.</t>
        </is>
      </c>
      <c r="F21" s="6" t="inlineStr">
        <is>
          <t>stock.receive</t>
        </is>
      </c>
      <c r="G21" s="8">
        <f>IF($F21="(none - every role)","All",IF($F21="DEV","Dev build",IF($F21="GUEST","n/a - guest",IFERROR(IF(INDEX('Permission matrix'!$B$2:$J$56,MATCH($F21,'Permission matrix'!$A$2:$A$56,0),MATCH(G$1,'Permission matrix'!$B$1:$J$1,0))=1,"Yes","-"),"?"))))</f>
        <v/>
      </c>
      <c r="H21" s="8">
        <f>IF($F21="(none - every role)","All",IF($F21="DEV","Dev build",IF($F21="GUEST","n/a - guest",IFERROR(IF(INDEX('Permission matrix'!$B$2:$J$56,MATCH($F21,'Permission matrix'!$A$2:$A$56,0),MATCH(H$1,'Permission matrix'!$B$1:$J$1,0))=1,"Yes","-"),"?"))))</f>
        <v/>
      </c>
      <c r="I21" s="8">
        <f>IF($F21="(none - every role)","All",IF($F21="DEV","Dev build",IF($F21="GUEST","n/a - guest",IFERROR(IF(INDEX('Permission matrix'!$B$2:$J$56,MATCH($F21,'Permission matrix'!$A$2:$A$56,0),MATCH(I$1,'Permission matrix'!$B$1:$J$1,0))=1,"Yes","-"),"?"))))</f>
        <v/>
      </c>
      <c r="J21" s="8">
        <f>IF($F21="(none - every role)","All",IF($F21="DEV","Dev build",IF($F21="GUEST","n/a - guest",IFERROR(IF(INDEX('Permission matrix'!$B$2:$J$56,MATCH($F21,'Permission matrix'!$A$2:$A$56,0),MATCH(J$1,'Permission matrix'!$B$1:$J$1,0))=1,"Yes","-"),"?"))))</f>
        <v/>
      </c>
      <c r="K21" s="8">
        <f>IF($F21="(none - every role)","All",IF($F21="DEV","Dev build",IF($F21="GUEST","n/a - guest",IFERROR(IF(INDEX('Permission matrix'!$B$2:$J$56,MATCH($F21,'Permission matrix'!$A$2:$A$56,0),MATCH(K$1,'Permission matrix'!$B$1:$J$1,0))=1,"Yes","-"),"?"))))</f>
        <v/>
      </c>
      <c r="L21" s="8">
        <f>IF($F21="(none - every role)","All",IF($F21="DEV","Dev build",IF($F21="GUEST","n/a - guest",IFERROR(IF(INDEX('Permission matrix'!$B$2:$J$56,MATCH($F21,'Permission matrix'!$A$2:$A$56,0),MATCH(L$1,'Permission matrix'!$B$1:$J$1,0))=1,"Yes","-"),"?"))))</f>
        <v/>
      </c>
      <c r="M21" s="8">
        <f>IF($F21="(none - every role)","All",IF($F21="DEV","Dev build",IF($F21="GUEST","n/a - guest",IFERROR(IF(INDEX('Permission matrix'!$B$2:$J$56,MATCH($F21,'Permission matrix'!$A$2:$A$56,0),MATCH(M$1,'Permission matrix'!$B$1:$J$1,0))=1,"Yes","-"),"?"))))</f>
        <v/>
      </c>
      <c r="N21" s="8">
        <f>IF($F21="(none - every role)","All",IF($F21="DEV","Dev build",IF($F21="GUEST","n/a - guest",IFERROR(IF(INDEX('Permission matrix'!$B$2:$J$56,MATCH($F21,'Permission matrix'!$A$2:$A$56,0),MATCH(N$1,'Permission matrix'!$B$1:$J$1,0))=1,"Yes","-"),"?"))))</f>
        <v/>
      </c>
      <c r="O21" s="8">
        <f>IF($F21="(none - every role)","All",IF($F21="DEV","Dev build",IF($F21="GUEST","n/a - guest",IFERROR(IF(INDEX('Permission matrix'!$B$2:$J$56,MATCH($F21,'Permission matrix'!$A$2:$A$56,0),MATCH(O$1,'Permission matrix'!$B$1:$J$1,0))=1,"Yes","-"),"?"))))</f>
        <v/>
      </c>
    </row>
    <row r="22">
      <c r="A22" s="5" t="inlineStr">
        <is>
          <t>Supply chain / procurement</t>
        </is>
      </c>
      <c r="B22" s="6" t="inlineStr">
        <is>
          <t>Suppliers</t>
        </is>
      </c>
      <c r="C22" s="6" t="inlineStr">
        <is>
          <t>/purchasing/suppliers</t>
        </is>
      </c>
      <c r="D22" s="6" t="inlineStr">
        <is>
          <t>Staff (web/PWA)</t>
        </is>
      </c>
      <c r="E22" s="7" t="inlineStr">
        <is>
          <t>Supplier list and terms. Commercially sensitive: who you buy from and what you pay.</t>
        </is>
      </c>
      <c r="F22" s="6" t="inlineStr">
        <is>
          <t>supplier.view</t>
        </is>
      </c>
      <c r="G22" s="8">
        <f>IF($F22="(none - every role)","All",IF($F22="DEV","Dev build",IF($F22="GUEST","n/a - guest",IFERROR(IF(INDEX('Permission matrix'!$B$2:$J$56,MATCH($F22,'Permission matrix'!$A$2:$A$56,0),MATCH(G$1,'Permission matrix'!$B$1:$J$1,0))=1,"Yes","-"),"?"))))</f>
        <v/>
      </c>
      <c r="H22" s="8">
        <f>IF($F22="(none - every role)","All",IF($F22="DEV","Dev build",IF($F22="GUEST","n/a - guest",IFERROR(IF(INDEX('Permission matrix'!$B$2:$J$56,MATCH($F22,'Permission matrix'!$A$2:$A$56,0),MATCH(H$1,'Permission matrix'!$B$1:$J$1,0))=1,"Yes","-"),"?"))))</f>
        <v/>
      </c>
      <c r="I22" s="8">
        <f>IF($F22="(none - every role)","All",IF($F22="DEV","Dev build",IF($F22="GUEST","n/a - guest",IFERROR(IF(INDEX('Permission matrix'!$B$2:$J$56,MATCH($F22,'Permission matrix'!$A$2:$A$56,0),MATCH(I$1,'Permission matrix'!$B$1:$J$1,0))=1,"Yes","-"),"?"))))</f>
        <v/>
      </c>
      <c r="J22" s="8">
        <f>IF($F22="(none - every role)","All",IF($F22="DEV","Dev build",IF($F22="GUEST","n/a - guest",IFERROR(IF(INDEX('Permission matrix'!$B$2:$J$56,MATCH($F22,'Permission matrix'!$A$2:$A$56,0),MATCH(J$1,'Permission matrix'!$B$1:$J$1,0))=1,"Yes","-"),"?"))))</f>
        <v/>
      </c>
      <c r="K22" s="8">
        <f>IF($F22="(none - every role)","All",IF($F22="DEV","Dev build",IF($F22="GUEST","n/a - guest",IFERROR(IF(INDEX('Permission matrix'!$B$2:$J$56,MATCH($F22,'Permission matrix'!$A$2:$A$56,0),MATCH(K$1,'Permission matrix'!$B$1:$J$1,0))=1,"Yes","-"),"?"))))</f>
        <v/>
      </c>
      <c r="L22" s="8">
        <f>IF($F22="(none - every role)","All",IF($F22="DEV","Dev build",IF($F22="GUEST","n/a - guest",IFERROR(IF(INDEX('Permission matrix'!$B$2:$J$56,MATCH($F22,'Permission matrix'!$A$2:$A$56,0),MATCH(L$1,'Permission matrix'!$B$1:$J$1,0))=1,"Yes","-"),"?"))))</f>
        <v/>
      </c>
      <c r="M22" s="8">
        <f>IF($F22="(none - every role)","All",IF($F22="DEV","Dev build",IF($F22="GUEST","n/a - guest",IFERROR(IF(INDEX('Permission matrix'!$B$2:$J$56,MATCH($F22,'Permission matrix'!$A$2:$A$56,0),MATCH(M$1,'Permission matrix'!$B$1:$J$1,0))=1,"Yes","-"),"?"))))</f>
        <v/>
      </c>
      <c r="N22" s="8">
        <f>IF($F22="(none - every role)","All",IF($F22="DEV","Dev build",IF($F22="GUEST","n/a - guest",IFERROR(IF(INDEX('Permission matrix'!$B$2:$J$56,MATCH($F22,'Permission matrix'!$A$2:$A$56,0),MATCH(N$1,'Permission matrix'!$B$1:$J$1,0))=1,"Yes","-"),"?"))))</f>
        <v/>
      </c>
      <c r="O22" s="8">
        <f>IF($F22="(none - every role)","All",IF($F22="DEV","Dev build",IF($F22="GUEST","n/a - guest",IFERROR(IF(INDEX('Permission matrix'!$B$2:$J$56,MATCH($F22,'Permission matrix'!$A$2:$A$56,0),MATCH(O$1,'Permission matrix'!$B$1:$J$1,0))=1,"Yes","-"),"?"))))</f>
        <v/>
      </c>
    </row>
    <row r="23">
      <c r="A23" s="5" t="inlineStr">
        <is>
          <t>Supply chain / procurement</t>
        </is>
      </c>
      <c r="B23" s="6" t="inlineStr">
        <is>
          <t>Supplier variance</t>
        </is>
      </c>
      <c r="C23" s="6" t="inlineStr">
        <is>
          <t>/purchasing/suppliers/:supplierId/variance</t>
        </is>
      </c>
      <c r="D23" s="6" t="inlineStr">
        <is>
          <t>Staff (web/PWA)</t>
        </is>
      </c>
      <c r="E23" s="7" t="inlineStr">
        <is>
          <t>Ordered against received against invoiced, for one supplier.</t>
        </is>
      </c>
      <c r="F23" s="6" t="inlineStr">
        <is>
          <t>supplier.view</t>
        </is>
      </c>
      <c r="G23" s="8">
        <f>IF($F23="(none - every role)","All",IF($F23="DEV","Dev build",IF($F23="GUEST","n/a - guest",IFERROR(IF(INDEX('Permission matrix'!$B$2:$J$56,MATCH($F23,'Permission matrix'!$A$2:$A$56,0),MATCH(G$1,'Permission matrix'!$B$1:$J$1,0))=1,"Yes","-"),"?"))))</f>
        <v/>
      </c>
      <c r="H23" s="8">
        <f>IF($F23="(none - every role)","All",IF($F23="DEV","Dev build",IF($F23="GUEST","n/a - guest",IFERROR(IF(INDEX('Permission matrix'!$B$2:$J$56,MATCH($F23,'Permission matrix'!$A$2:$A$56,0),MATCH(H$1,'Permission matrix'!$B$1:$J$1,0))=1,"Yes","-"),"?"))))</f>
        <v/>
      </c>
      <c r="I23" s="8">
        <f>IF($F23="(none - every role)","All",IF($F23="DEV","Dev build",IF($F23="GUEST","n/a - guest",IFERROR(IF(INDEX('Permission matrix'!$B$2:$J$56,MATCH($F23,'Permission matrix'!$A$2:$A$56,0),MATCH(I$1,'Permission matrix'!$B$1:$J$1,0))=1,"Yes","-"),"?"))))</f>
        <v/>
      </c>
      <c r="J23" s="8">
        <f>IF($F23="(none - every role)","All",IF($F23="DEV","Dev build",IF($F23="GUEST","n/a - guest",IFERROR(IF(INDEX('Permission matrix'!$B$2:$J$56,MATCH($F23,'Permission matrix'!$A$2:$A$56,0),MATCH(J$1,'Permission matrix'!$B$1:$J$1,0))=1,"Yes","-"),"?"))))</f>
        <v/>
      </c>
      <c r="K23" s="8">
        <f>IF($F23="(none - every role)","All",IF($F23="DEV","Dev build",IF($F23="GUEST","n/a - guest",IFERROR(IF(INDEX('Permission matrix'!$B$2:$J$56,MATCH($F23,'Permission matrix'!$A$2:$A$56,0),MATCH(K$1,'Permission matrix'!$B$1:$J$1,0))=1,"Yes","-"),"?"))))</f>
        <v/>
      </c>
      <c r="L23" s="8">
        <f>IF($F23="(none - every role)","All",IF($F23="DEV","Dev build",IF($F23="GUEST","n/a - guest",IFERROR(IF(INDEX('Permission matrix'!$B$2:$J$56,MATCH($F23,'Permission matrix'!$A$2:$A$56,0),MATCH(L$1,'Permission matrix'!$B$1:$J$1,0))=1,"Yes","-"),"?"))))</f>
        <v/>
      </c>
      <c r="M23" s="8">
        <f>IF($F23="(none - every role)","All",IF($F23="DEV","Dev build",IF($F23="GUEST","n/a - guest",IFERROR(IF(INDEX('Permission matrix'!$B$2:$J$56,MATCH($F23,'Permission matrix'!$A$2:$A$56,0),MATCH(M$1,'Permission matrix'!$B$1:$J$1,0))=1,"Yes","-"),"?"))))</f>
        <v/>
      </c>
      <c r="N23" s="8">
        <f>IF($F23="(none - every role)","All",IF($F23="DEV","Dev build",IF($F23="GUEST","n/a - guest",IFERROR(IF(INDEX('Permission matrix'!$B$2:$J$56,MATCH($F23,'Permission matrix'!$A$2:$A$56,0),MATCH(N$1,'Permission matrix'!$B$1:$J$1,0))=1,"Yes","-"),"?"))))</f>
        <v/>
      </c>
      <c r="O23" s="8">
        <f>IF($F23="(none - every role)","All",IF($F23="DEV","Dev build",IF($F23="GUEST","n/a - guest",IFERROR(IF(INDEX('Permission matrix'!$B$2:$J$56,MATCH($F23,'Permission matrix'!$A$2:$A$56,0),MATCH(O$1,'Permission matrix'!$B$1:$J$1,0))=1,"Yes","-"),"?"))))</f>
        <v/>
      </c>
    </row>
    <row r="24">
      <c r="A24" s="5" t="inlineStr">
        <is>
          <t>Orders &amp; billing</t>
        </is>
      </c>
      <c r="B24" s="6" t="inlineStr">
        <is>
          <t>Table map</t>
        </is>
      </c>
      <c r="C24" s="6" t="inlineStr">
        <is>
          <t>/floor</t>
        </is>
      </c>
      <c r="D24" s="6" t="inlineStr">
        <is>
          <t>Staff (web/PWA)</t>
        </is>
      </c>
      <c r="E24" s="7" t="inlineStr">
        <is>
          <t>The floor: tables, their state and who is serving them. Busy mode needs floor.manage.</t>
        </is>
      </c>
      <c r="F24" s="6" t="inlineStr">
        <is>
          <t>order.view</t>
        </is>
      </c>
      <c r="G24" s="8">
        <f>IF($F24="(none - every role)","All",IF($F24="DEV","Dev build",IF($F24="GUEST","n/a - guest",IFERROR(IF(INDEX('Permission matrix'!$B$2:$J$56,MATCH($F24,'Permission matrix'!$A$2:$A$56,0),MATCH(G$1,'Permission matrix'!$B$1:$J$1,0))=1,"Yes","-"),"?"))))</f>
        <v/>
      </c>
      <c r="H24" s="8">
        <f>IF($F24="(none - every role)","All",IF($F24="DEV","Dev build",IF($F24="GUEST","n/a - guest",IFERROR(IF(INDEX('Permission matrix'!$B$2:$J$56,MATCH($F24,'Permission matrix'!$A$2:$A$56,0),MATCH(H$1,'Permission matrix'!$B$1:$J$1,0))=1,"Yes","-"),"?"))))</f>
        <v/>
      </c>
      <c r="I24" s="8">
        <f>IF($F24="(none - every role)","All",IF($F24="DEV","Dev build",IF($F24="GUEST","n/a - guest",IFERROR(IF(INDEX('Permission matrix'!$B$2:$J$56,MATCH($F24,'Permission matrix'!$A$2:$A$56,0),MATCH(I$1,'Permission matrix'!$B$1:$J$1,0))=1,"Yes","-"),"?"))))</f>
        <v/>
      </c>
      <c r="J24" s="8">
        <f>IF($F24="(none - every role)","All",IF($F24="DEV","Dev build",IF($F24="GUEST","n/a - guest",IFERROR(IF(INDEX('Permission matrix'!$B$2:$J$56,MATCH($F24,'Permission matrix'!$A$2:$A$56,0),MATCH(J$1,'Permission matrix'!$B$1:$J$1,0))=1,"Yes","-"),"?"))))</f>
        <v/>
      </c>
      <c r="K24" s="8">
        <f>IF($F24="(none - every role)","All",IF($F24="DEV","Dev build",IF($F24="GUEST","n/a - guest",IFERROR(IF(INDEX('Permission matrix'!$B$2:$J$56,MATCH($F24,'Permission matrix'!$A$2:$A$56,0),MATCH(K$1,'Permission matrix'!$B$1:$J$1,0))=1,"Yes","-"),"?"))))</f>
        <v/>
      </c>
      <c r="L24" s="8">
        <f>IF($F24="(none - every role)","All",IF($F24="DEV","Dev build",IF($F24="GUEST","n/a - guest",IFERROR(IF(INDEX('Permission matrix'!$B$2:$J$56,MATCH($F24,'Permission matrix'!$A$2:$A$56,0),MATCH(L$1,'Permission matrix'!$B$1:$J$1,0))=1,"Yes","-"),"?"))))</f>
        <v/>
      </c>
      <c r="M24" s="8">
        <f>IF($F24="(none - every role)","All",IF($F24="DEV","Dev build",IF($F24="GUEST","n/a - guest",IFERROR(IF(INDEX('Permission matrix'!$B$2:$J$56,MATCH($F24,'Permission matrix'!$A$2:$A$56,0),MATCH(M$1,'Permission matrix'!$B$1:$J$1,0))=1,"Yes","-"),"?"))))</f>
        <v/>
      </c>
      <c r="N24" s="8">
        <f>IF($F24="(none - every role)","All",IF($F24="DEV","Dev build",IF($F24="GUEST","n/a - guest",IFERROR(IF(INDEX('Permission matrix'!$B$2:$J$56,MATCH($F24,'Permission matrix'!$A$2:$A$56,0),MATCH(N$1,'Permission matrix'!$B$1:$J$1,0))=1,"Yes","-"),"?"))))</f>
        <v/>
      </c>
      <c r="O24" s="8">
        <f>IF($F24="(none - every role)","All",IF($F24="DEV","Dev build",IF($F24="GUEST","n/a - guest",IFERROR(IF(INDEX('Permission matrix'!$B$2:$J$56,MATCH($F24,'Permission matrix'!$A$2:$A$56,0),MATCH(O$1,'Permission matrix'!$B$1:$J$1,0))=1,"Yes","-"),"?"))))</f>
        <v/>
      </c>
    </row>
    <row r="25">
      <c r="A25" s="5" t="inlineStr">
        <is>
          <t>Orders &amp; billing</t>
        </is>
      </c>
      <c r="B25" s="6" t="inlineStr">
        <is>
          <t>Order taking</t>
        </is>
      </c>
      <c r="C25" s="6" t="inlineStr">
        <is>
          <t>/orders/:orderId</t>
        </is>
      </c>
      <c r="D25" s="6" t="inlineStr">
        <is>
          <t>Staff (web/PWA)</t>
        </is>
      </c>
      <c r="E25" s="7" t="inlineStr">
        <is>
          <t>Add, change, send and serve dishes; split a bill; packaging and service charge.</t>
        </is>
      </c>
      <c r="F25" s="6" t="inlineStr">
        <is>
          <t>order.modify</t>
        </is>
      </c>
      <c r="G25" s="8">
        <f>IF($F25="(none - every role)","All",IF($F25="DEV","Dev build",IF($F25="GUEST","n/a - guest",IFERROR(IF(INDEX('Permission matrix'!$B$2:$J$56,MATCH($F25,'Permission matrix'!$A$2:$A$56,0),MATCH(G$1,'Permission matrix'!$B$1:$J$1,0))=1,"Yes","-"),"?"))))</f>
        <v/>
      </c>
      <c r="H25" s="8">
        <f>IF($F25="(none - every role)","All",IF($F25="DEV","Dev build",IF($F25="GUEST","n/a - guest",IFERROR(IF(INDEX('Permission matrix'!$B$2:$J$56,MATCH($F25,'Permission matrix'!$A$2:$A$56,0),MATCH(H$1,'Permission matrix'!$B$1:$J$1,0))=1,"Yes","-"),"?"))))</f>
        <v/>
      </c>
      <c r="I25" s="8">
        <f>IF($F25="(none - every role)","All",IF($F25="DEV","Dev build",IF($F25="GUEST","n/a - guest",IFERROR(IF(INDEX('Permission matrix'!$B$2:$J$56,MATCH($F25,'Permission matrix'!$A$2:$A$56,0),MATCH(I$1,'Permission matrix'!$B$1:$J$1,0))=1,"Yes","-"),"?"))))</f>
        <v/>
      </c>
      <c r="J25" s="8">
        <f>IF($F25="(none - every role)","All",IF($F25="DEV","Dev build",IF($F25="GUEST","n/a - guest",IFERROR(IF(INDEX('Permission matrix'!$B$2:$J$56,MATCH($F25,'Permission matrix'!$A$2:$A$56,0),MATCH(J$1,'Permission matrix'!$B$1:$J$1,0))=1,"Yes","-"),"?"))))</f>
        <v/>
      </c>
      <c r="K25" s="8">
        <f>IF($F25="(none - every role)","All",IF($F25="DEV","Dev build",IF($F25="GUEST","n/a - guest",IFERROR(IF(INDEX('Permission matrix'!$B$2:$J$56,MATCH($F25,'Permission matrix'!$A$2:$A$56,0),MATCH(K$1,'Permission matrix'!$B$1:$J$1,0))=1,"Yes","-"),"?"))))</f>
        <v/>
      </c>
      <c r="L25" s="8">
        <f>IF($F25="(none - every role)","All",IF($F25="DEV","Dev build",IF($F25="GUEST","n/a - guest",IFERROR(IF(INDEX('Permission matrix'!$B$2:$J$56,MATCH($F25,'Permission matrix'!$A$2:$A$56,0),MATCH(L$1,'Permission matrix'!$B$1:$J$1,0))=1,"Yes","-"),"?"))))</f>
        <v/>
      </c>
      <c r="M25" s="8">
        <f>IF($F25="(none - every role)","All",IF($F25="DEV","Dev build",IF($F25="GUEST","n/a - guest",IFERROR(IF(INDEX('Permission matrix'!$B$2:$J$56,MATCH($F25,'Permission matrix'!$A$2:$A$56,0),MATCH(M$1,'Permission matrix'!$B$1:$J$1,0))=1,"Yes","-"),"?"))))</f>
        <v/>
      </c>
      <c r="N25" s="8">
        <f>IF($F25="(none - every role)","All",IF($F25="DEV","Dev build",IF($F25="GUEST","n/a - guest",IFERROR(IF(INDEX('Permission matrix'!$B$2:$J$56,MATCH($F25,'Permission matrix'!$A$2:$A$56,0),MATCH(N$1,'Permission matrix'!$B$1:$J$1,0))=1,"Yes","-"),"?"))))</f>
        <v/>
      </c>
      <c r="O25" s="8">
        <f>IF($F25="(none - every role)","All",IF($F25="DEV","Dev build",IF($F25="GUEST","n/a - guest",IFERROR(IF(INDEX('Permission matrix'!$B$2:$J$56,MATCH($F25,'Permission matrix'!$A$2:$A$56,0),MATCH(O$1,'Permission matrix'!$B$1:$J$1,0))=1,"Yes","-"),"?"))))</f>
        <v/>
      </c>
    </row>
    <row r="26">
      <c r="A26" s="5" t="inlineStr">
        <is>
          <t>Orders &amp; billing</t>
        </is>
      </c>
      <c r="B26" s="6" t="inlineStr">
        <is>
          <t>Bill &amp; settle</t>
        </is>
      </c>
      <c r="C26" s="6" t="inlineStr">
        <is>
          <t>/orders/:orderId/bill</t>
        </is>
      </c>
      <c r="D26" s="6" t="inlineStr">
        <is>
          <t>Staff (web/PWA)</t>
        </is>
      </c>
      <c r="E26" s="7" t="inlineStr">
        <is>
          <t>Take payment and settle, which numbers the invoice and posts the stock consumed.</t>
        </is>
      </c>
      <c r="F26" s="6" t="inlineStr">
        <is>
          <t>order.settle</t>
        </is>
      </c>
      <c r="G26" s="8">
        <f>IF($F26="(none - every role)","All",IF($F26="DEV","Dev build",IF($F26="GUEST","n/a - guest",IFERROR(IF(INDEX('Permission matrix'!$B$2:$J$56,MATCH($F26,'Permission matrix'!$A$2:$A$56,0),MATCH(G$1,'Permission matrix'!$B$1:$J$1,0))=1,"Yes","-"),"?"))))</f>
        <v/>
      </c>
      <c r="H26" s="8">
        <f>IF($F26="(none - every role)","All",IF($F26="DEV","Dev build",IF($F26="GUEST","n/a - guest",IFERROR(IF(INDEX('Permission matrix'!$B$2:$J$56,MATCH($F26,'Permission matrix'!$A$2:$A$56,0),MATCH(H$1,'Permission matrix'!$B$1:$J$1,0))=1,"Yes","-"),"?"))))</f>
        <v/>
      </c>
      <c r="I26" s="8">
        <f>IF($F26="(none - every role)","All",IF($F26="DEV","Dev build",IF($F26="GUEST","n/a - guest",IFERROR(IF(INDEX('Permission matrix'!$B$2:$J$56,MATCH($F26,'Permission matrix'!$A$2:$A$56,0),MATCH(I$1,'Permission matrix'!$B$1:$J$1,0))=1,"Yes","-"),"?"))))</f>
        <v/>
      </c>
      <c r="J26" s="8">
        <f>IF($F26="(none - every role)","All",IF($F26="DEV","Dev build",IF($F26="GUEST","n/a - guest",IFERROR(IF(INDEX('Permission matrix'!$B$2:$J$56,MATCH($F26,'Permission matrix'!$A$2:$A$56,0),MATCH(J$1,'Permission matrix'!$B$1:$J$1,0))=1,"Yes","-"),"?"))))</f>
        <v/>
      </c>
      <c r="K26" s="8">
        <f>IF($F26="(none - every role)","All",IF($F26="DEV","Dev build",IF($F26="GUEST","n/a - guest",IFERROR(IF(INDEX('Permission matrix'!$B$2:$J$56,MATCH($F26,'Permission matrix'!$A$2:$A$56,0),MATCH(K$1,'Permission matrix'!$B$1:$J$1,0))=1,"Yes","-"),"?"))))</f>
        <v/>
      </c>
      <c r="L26" s="8">
        <f>IF($F26="(none - every role)","All",IF($F26="DEV","Dev build",IF($F26="GUEST","n/a - guest",IFERROR(IF(INDEX('Permission matrix'!$B$2:$J$56,MATCH($F26,'Permission matrix'!$A$2:$A$56,0),MATCH(L$1,'Permission matrix'!$B$1:$J$1,0))=1,"Yes","-"),"?"))))</f>
        <v/>
      </c>
      <c r="M26" s="8">
        <f>IF($F26="(none - every role)","All",IF($F26="DEV","Dev build",IF($F26="GUEST","n/a - guest",IFERROR(IF(INDEX('Permission matrix'!$B$2:$J$56,MATCH($F26,'Permission matrix'!$A$2:$A$56,0),MATCH(M$1,'Permission matrix'!$B$1:$J$1,0))=1,"Yes","-"),"?"))))</f>
        <v/>
      </c>
      <c r="N26" s="8">
        <f>IF($F26="(none - every role)","All",IF($F26="DEV","Dev build",IF($F26="GUEST","n/a - guest",IFERROR(IF(INDEX('Permission matrix'!$B$2:$J$56,MATCH($F26,'Permission matrix'!$A$2:$A$56,0),MATCH(N$1,'Permission matrix'!$B$1:$J$1,0))=1,"Yes","-"),"?"))))</f>
        <v/>
      </c>
      <c r="O26" s="8">
        <f>IF($F26="(none - every role)","All",IF($F26="DEV","Dev build",IF($F26="GUEST","n/a - guest",IFERROR(IF(INDEX('Permission matrix'!$B$2:$J$56,MATCH($F26,'Permission matrix'!$A$2:$A$56,0),MATCH(O$1,'Permission matrix'!$B$1:$J$1,0))=1,"Yes","-"),"?"))))</f>
        <v/>
      </c>
    </row>
    <row r="27">
      <c r="A27" s="5" t="inlineStr">
        <is>
          <t>Orders &amp; billing</t>
        </is>
      </c>
      <c r="B27" s="6" t="inlineStr">
        <is>
          <t>Settled bills</t>
        </is>
      </c>
      <c r="C27" s="6" t="inlineStr">
        <is>
          <t>/bills</t>
        </is>
      </c>
      <c r="D27" s="6" t="inlineStr">
        <is>
          <t>Staff (web/PWA)</t>
        </is>
      </c>
      <c r="E27" s="7" t="inlineStr">
        <is>
          <t>Settled bills, for cancellation on the day or a credit note afterwards.</t>
        </is>
      </c>
      <c r="F27" s="6" t="inlineStr">
        <is>
          <t>order.void</t>
        </is>
      </c>
      <c r="G27" s="8">
        <f>IF($F27="(none - every role)","All",IF($F27="DEV","Dev build",IF($F27="GUEST","n/a - guest",IFERROR(IF(INDEX('Permission matrix'!$B$2:$J$56,MATCH($F27,'Permission matrix'!$A$2:$A$56,0),MATCH(G$1,'Permission matrix'!$B$1:$J$1,0))=1,"Yes","-"),"?"))))</f>
        <v/>
      </c>
      <c r="H27" s="8">
        <f>IF($F27="(none - every role)","All",IF($F27="DEV","Dev build",IF($F27="GUEST","n/a - guest",IFERROR(IF(INDEX('Permission matrix'!$B$2:$J$56,MATCH($F27,'Permission matrix'!$A$2:$A$56,0),MATCH(H$1,'Permission matrix'!$B$1:$J$1,0))=1,"Yes","-"),"?"))))</f>
        <v/>
      </c>
      <c r="I27" s="8">
        <f>IF($F27="(none - every role)","All",IF($F27="DEV","Dev build",IF($F27="GUEST","n/a - guest",IFERROR(IF(INDEX('Permission matrix'!$B$2:$J$56,MATCH($F27,'Permission matrix'!$A$2:$A$56,0),MATCH(I$1,'Permission matrix'!$B$1:$J$1,0))=1,"Yes","-"),"?"))))</f>
        <v/>
      </c>
      <c r="J27" s="8">
        <f>IF($F27="(none - every role)","All",IF($F27="DEV","Dev build",IF($F27="GUEST","n/a - guest",IFERROR(IF(INDEX('Permission matrix'!$B$2:$J$56,MATCH($F27,'Permission matrix'!$A$2:$A$56,0),MATCH(J$1,'Permission matrix'!$B$1:$J$1,0))=1,"Yes","-"),"?"))))</f>
        <v/>
      </c>
      <c r="K27" s="8">
        <f>IF($F27="(none - every role)","All",IF($F27="DEV","Dev build",IF($F27="GUEST","n/a - guest",IFERROR(IF(INDEX('Permission matrix'!$B$2:$J$56,MATCH($F27,'Permission matrix'!$A$2:$A$56,0),MATCH(K$1,'Permission matrix'!$B$1:$J$1,0))=1,"Yes","-"),"?"))))</f>
        <v/>
      </c>
      <c r="L27" s="8">
        <f>IF($F27="(none - every role)","All",IF($F27="DEV","Dev build",IF($F27="GUEST","n/a - guest",IFERROR(IF(INDEX('Permission matrix'!$B$2:$J$56,MATCH($F27,'Permission matrix'!$A$2:$A$56,0),MATCH(L$1,'Permission matrix'!$B$1:$J$1,0))=1,"Yes","-"),"?"))))</f>
        <v/>
      </c>
      <c r="M27" s="8">
        <f>IF($F27="(none - every role)","All",IF($F27="DEV","Dev build",IF($F27="GUEST","n/a - guest",IFERROR(IF(INDEX('Permission matrix'!$B$2:$J$56,MATCH($F27,'Permission matrix'!$A$2:$A$56,0),MATCH(M$1,'Permission matrix'!$B$1:$J$1,0))=1,"Yes","-"),"?"))))</f>
        <v/>
      </c>
      <c r="N27" s="8">
        <f>IF($F27="(none - every role)","All",IF($F27="DEV","Dev build",IF($F27="GUEST","n/a - guest",IFERROR(IF(INDEX('Permission matrix'!$B$2:$J$56,MATCH($F27,'Permission matrix'!$A$2:$A$56,0),MATCH(N$1,'Permission matrix'!$B$1:$J$1,0))=1,"Yes","-"),"?"))))</f>
        <v/>
      </c>
      <c r="O27" s="8">
        <f>IF($F27="(none - every role)","All",IF($F27="DEV","Dev build",IF($F27="GUEST","n/a - guest",IFERROR(IF(INDEX('Permission matrix'!$B$2:$J$56,MATCH($F27,'Permission matrix'!$A$2:$A$56,0),MATCH(O$1,'Permission matrix'!$B$1:$J$1,0))=1,"Yes","-"),"?"))))</f>
        <v/>
      </c>
    </row>
    <row r="28">
      <c r="A28" s="5" t="inlineStr">
        <is>
          <t>Orders &amp; billing</t>
        </is>
      </c>
      <c r="B28" s="6" t="inlineStr">
        <is>
          <t>Invoice</t>
        </is>
      </c>
      <c r="C28" s="6" t="inlineStr">
        <is>
          <t>/bills/:orderId</t>
        </is>
      </c>
      <c r="D28" s="6" t="inlineStr">
        <is>
          <t>Staff (web/PWA)</t>
        </is>
      </c>
      <c r="E28" s="7" t="inlineStr">
        <is>
          <t>One settled invoice, with its void and credit-note actions.</t>
        </is>
      </c>
      <c r="F28" s="6" t="inlineStr">
        <is>
          <t>order.void</t>
        </is>
      </c>
      <c r="G28" s="8">
        <f>IF($F28="(none - every role)","All",IF($F28="DEV","Dev build",IF($F28="GUEST","n/a - guest",IFERROR(IF(INDEX('Permission matrix'!$B$2:$J$56,MATCH($F28,'Permission matrix'!$A$2:$A$56,0),MATCH(G$1,'Permission matrix'!$B$1:$J$1,0))=1,"Yes","-"),"?"))))</f>
        <v/>
      </c>
      <c r="H28" s="8">
        <f>IF($F28="(none - every role)","All",IF($F28="DEV","Dev build",IF($F28="GUEST","n/a - guest",IFERROR(IF(INDEX('Permission matrix'!$B$2:$J$56,MATCH($F28,'Permission matrix'!$A$2:$A$56,0),MATCH(H$1,'Permission matrix'!$B$1:$J$1,0))=1,"Yes","-"),"?"))))</f>
        <v/>
      </c>
      <c r="I28" s="8">
        <f>IF($F28="(none - every role)","All",IF($F28="DEV","Dev build",IF($F28="GUEST","n/a - guest",IFERROR(IF(INDEX('Permission matrix'!$B$2:$J$56,MATCH($F28,'Permission matrix'!$A$2:$A$56,0),MATCH(I$1,'Permission matrix'!$B$1:$J$1,0))=1,"Yes","-"),"?"))))</f>
        <v/>
      </c>
      <c r="J28" s="8">
        <f>IF($F28="(none - every role)","All",IF($F28="DEV","Dev build",IF($F28="GUEST","n/a - guest",IFERROR(IF(INDEX('Permission matrix'!$B$2:$J$56,MATCH($F28,'Permission matrix'!$A$2:$A$56,0),MATCH(J$1,'Permission matrix'!$B$1:$J$1,0))=1,"Yes","-"),"?"))))</f>
        <v/>
      </c>
      <c r="K28" s="8">
        <f>IF($F28="(none - every role)","All",IF($F28="DEV","Dev build",IF($F28="GUEST","n/a - guest",IFERROR(IF(INDEX('Permission matrix'!$B$2:$J$56,MATCH($F28,'Permission matrix'!$A$2:$A$56,0),MATCH(K$1,'Permission matrix'!$B$1:$J$1,0))=1,"Yes","-"),"?"))))</f>
        <v/>
      </c>
      <c r="L28" s="8">
        <f>IF($F28="(none - every role)","All",IF($F28="DEV","Dev build",IF($F28="GUEST","n/a - guest",IFERROR(IF(INDEX('Permission matrix'!$B$2:$J$56,MATCH($F28,'Permission matrix'!$A$2:$A$56,0),MATCH(L$1,'Permission matrix'!$B$1:$J$1,0))=1,"Yes","-"),"?"))))</f>
        <v/>
      </c>
      <c r="M28" s="8">
        <f>IF($F28="(none - every role)","All",IF($F28="DEV","Dev build",IF($F28="GUEST","n/a - guest",IFERROR(IF(INDEX('Permission matrix'!$B$2:$J$56,MATCH($F28,'Permission matrix'!$A$2:$A$56,0),MATCH(M$1,'Permission matrix'!$B$1:$J$1,0))=1,"Yes","-"),"?"))))</f>
        <v/>
      </c>
      <c r="N28" s="8">
        <f>IF($F28="(none - every role)","All",IF($F28="DEV","Dev build",IF($F28="GUEST","n/a - guest",IFERROR(IF(INDEX('Permission matrix'!$B$2:$J$56,MATCH($F28,'Permission matrix'!$A$2:$A$56,0),MATCH(N$1,'Permission matrix'!$B$1:$J$1,0))=1,"Yes","-"),"?"))))</f>
        <v/>
      </c>
      <c r="O28" s="8">
        <f>IF($F28="(none - every role)","All",IF($F28="DEV","Dev build",IF($F28="GUEST","n/a - guest",IFERROR(IF(INDEX('Permission matrix'!$B$2:$J$56,MATCH($F28,'Permission matrix'!$A$2:$A$56,0),MATCH(O$1,'Permission matrix'!$B$1:$J$1,0))=1,"Yes","-"),"?"))))</f>
        <v/>
      </c>
    </row>
    <row r="29">
      <c r="A29" s="5" t="inlineStr">
        <is>
          <t>Orders &amp; billing</t>
        </is>
      </c>
      <c r="B29" s="6" t="inlineStr">
        <is>
          <t>Cash / till</t>
        </is>
      </c>
      <c r="C29" s="6" t="inlineStr">
        <is>
          <t>/cash</t>
        </is>
      </c>
      <c r="D29" s="6" t="inlineStr">
        <is>
          <t>Staff (web/PWA)</t>
        </is>
      </c>
      <c r="E29" s="7" t="inlineStr">
        <is>
          <t>Open and close the till, count cash, record payouts and post-close adjustments.</t>
        </is>
      </c>
      <c r="F29" s="6" t="inlineStr">
        <is>
          <t>cash.manage</t>
        </is>
      </c>
      <c r="G29" s="8">
        <f>IF($F29="(none - every role)","All",IF($F29="DEV","Dev build",IF($F29="GUEST","n/a - guest",IFERROR(IF(INDEX('Permission matrix'!$B$2:$J$56,MATCH($F29,'Permission matrix'!$A$2:$A$56,0),MATCH(G$1,'Permission matrix'!$B$1:$J$1,0))=1,"Yes","-"),"?"))))</f>
        <v/>
      </c>
      <c r="H29" s="8">
        <f>IF($F29="(none - every role)","All",IF($F29="DEV","Dev build",IF($F29="GUEST","n/a - guest",IFERROR(IF(INDEX('Permission matrix'!$B$2:$J$56,MATCH($F29,'Permission matrix'!$A$2:$A$56,0),MATCH(H$1,'Permission matrix'!$B$1:$J$1,0))=1,"Yes","-"),"?"))))</f>
        <v/>
      </c>
      <c r="I29" s="8">
        <f>IF($F29="(none - every role)","All",IF($F29="DEV","Dev build",IF($F29="GUEST","n/a - guest",IFERROR(IF(INDEX('Permission matrix'!$B$2:$J$56,MATCH($F29,'Permission matrix'!$A$2:$A$56,0),MATCH(I$1,'Permission matrix'!$B$1:$J$1,0))=1,"Yes","-"),"?"))))</f>
        <v/>
      </c>
      <c r="J29" s="8">
        <f>IF($F29="(none - every role)","All",IF($F29="DEV","Dev build",IF($F29="GUEST","n/a - guest",IFERROR(IF(INDEX('Permission matrix'!$B$2:$J$56,MATCH($F29,'Permission matrix'!$A$2:$A$56,0),MATCH(J$1,'Permission matrix'!$B$1:$J$1,0))=1,"Yes","-"),"?"))))</f>
        <v/>
      </c>
      <c r="K29" s="8">
        <f>IF($F29="(none - every role)","All",IF($F29="DEV","Dev build",IF($F29="GUEST","n/a - guest",IFERROR(IF(INDEX('Permission matrix'!$B$2:$J$56,MATCH($F29,'Permission matrix'!$A$2:$A$56,0),MATCH(K$1,'Permission matrix'!$B$1:$J$1,0))=1,"Yes","-"),"?"))))</f>
        <v/>
      </c>
      <c r="L29" s="8">
        <f>IF($F29="(none - every role)","All",IF($F29="DEV","Dev build",IF($F29="GUEST","n/a - guest",IFERROR(IF(INDEX('Permission matrix'!$B$2:$J$56,MATCH($F29,'Permission matrix'!$A$2:$A$56,0),MATCH(L$1,'Permission matrix'!$B$1:$J$1,0))=1,"Yes","-"),"?"))))</f>
        <v/>
      </c>
      <c r="M29" s="8">
        <f>IF($F29="(none - every role)","All",IF($F29="DEV","Dev build",IF($F29="GUEST","n/a - guest",IFERROR(IF(INDEX('Permission matrix'!$B$2:$J$56,MATCH($F29,'Permission matrix'!$A$2:$A$56,0),MATCH(M$1,'Permission matrix'!$B$1:$J$1,0))=1,"Yes","-"),"?"))))</f>
        <v/>
      </c>
      <c r="N29" s="8">
        <f>IF($F29="(none - every role)","All",IF($F29="DEV","Dev build",IF($F29="GUEST","n/a - guest",IFERROR(IF(INDEX('Permission matrix'!$B$2:$J$56,MATCH($F29,'Permission matrix'!$A$2:$A$56,0),MATCH(N$1,'Permission matrix'!$B$1:$J$1,0))=1,"Yes","-"),"?"))))</f>
        <v/>
      </c>
      <c r="O29" s="8">
        <f>IF($F29="(none - every role)","All",IF($F29="DEV","Dev build",IF($F29="GUEST","n/a - guest",IFERROR(IF(INDEX('Permission matrix'!$B$2:$J$56,MATCH($F29,'Permission matrix'!$A$2:$A$56,0),MATCH(O$1,'Permission matrix'!$B$1:$J$1,0))=1,"Yes","-"),"?"))))</f>
        <v/>
      </c>
    </row>
    <row r="30">
      <c r="A30" s="5" t="inlineStr">
        <is>
          <t>Kitchen operations</t>
        </is>
      </c>
      <c r="B30" s="6" t="inlineStr">
        <is>
          <t>Kitchen display</t>
        </is>
      </c>
      <c r="C30" s="6" t="inlineStr">
        <is>
          <t>/kitchen</t>
        </is>
      </c>
      <c r="D30" s="6" t="inlineStr">
        <is>
          <t>Staff (web/PWA)</t>
        </is>
      </c>
      <c r="E30" s="7" t="inlineStr">
        <is>
          <t>Live ticket rail per station over Server-Sent Events. The buttons need kot.update.</t>
        </is>
      </c>
      <c r="F30" s="6" t="inlineStr">
        <is>
          <t>kot.view</t>
        </is>
      </c>
      <c r="G30" s="8">
        <f>IF($F30="(none - every role)","All",IF($F30="DEV","Dev build",IF($F30="GUEST","n/a - guest",IFERROR(IF(INDEX('Permission matrix'!$B$2:$J$56,MATCH($F30,'Permission matrix'!$A$2:$A$56,0),MATCH(G$1,'Permission matrix'!$B$1:$J$1,0))=1,"Yes","-"),"?"))))</f>
        <v/>
      </c>
      <c r="H30" s="8">
        <f>IF($F30="(none - every role)","All",IF($F30="DEV","Dev build",IF($F30="GUEST","n/a - guest",IFERROR(IF(INDEX('Permission matrix'!$B$2:$J$56,MATCH($F30,'Permission matrix'!$A$2:$A$56,0),MATCH(H$1,'Permission matrix'!$B$1:$J$1,0))=1,"Yes","-"),"?"))))</f>
        <v/>
      </c>
      <c r="I30" s="8">
        <f>IF($F30="(none - every role)","All",IF($F30="DEV","Dev build",IF($F30="GUEST","n/a - guest",IFERROR(IF(INDEX('Permission matrix'!$B$2:$J$56,MATCH($F30,'Permission matrix'!$A$2:$A$56,0),MATCH(I$1,'Permission matrix'!$B$1:$J$1,0))=1,"Yes","-"),"?"))))</f>
        <v/>
      </c>
      <c r="J30" s="8">
        <f>IF($F30="(none - every role)","All",IF($F30="DEV","Dev build",IF($F30="GUEST","n/a - guest",IFERROR(IF(INDEX('Permission matrix'!$B$2:$J$56,MATCH($F30,'Permission matrix'!$A$2:$A$56,0),MATCH(J$1,'Permission matrix'!$B$1:$J$1,0))=1,"Yes","-"),"?"))))</f>
        <v/>
      </c>
      <c r="K30" s="8">
        <f>IF($F30="(none - every role)","All",IF($F30="DEV","Dev build",IF($F30="GUEST","n/a - guest",IFERROR(IF(INDEX('Permission matrix'!$B$2:$J$56,MATCH($F30,'Permission matrix'!$A$2:$A$56,0),MATCH(K$1,'Permission matrix'!$B$1:$J$1,0))=1,"Yes","-"),"?"))))</f>
        <v/>
      </c>
      <c r="L30" s="8">
        <f>IF($F30="(none - every role)","All",IF($F30="DEV","Dev build",IF($F30="GUEST","n/a - guest",IFERROR(IF(INDEX('Permission matrix'!$B$2:$J$56,MATCH($F30,'Permission matrix'!$A$2:$A$56,0),MATCH(L$1,'Permission matrix'!$B$1:$J$1,0))=1,"Yes","-"),"?"))))</f>
        <v/>
      </c>
      <c r="M30" s="8">
        <f>IF($F30="(none - every role)","All",IF($F30="DEV","Dev build",IF($F30="GUEST","n/a - guest",IFERROR(IF(INDEX('Permission matrix'!$B$2:$J$56,MATCH($F30,'Permission matrix'!$A$2:$A$56,0),MATCH(M$1,'Permission matrix'!$B$1:$J$1,0))=1,"Yes","-"),"?"))))</f>
        <v/>
      </c>
      <c r="N30" s="8">
        <f>IF($F30="(none - every role)","All",IF($F30="DEV","Dev build",IF($F30="GUEST","n/a - guest",IFERROR(IF(INDEX('Permission matrix'!$B$2:$J$56,MATCH($F30,'Permission matrix'!$A$2:$A$56,0),MATCH(N$1,'Permission matrix'!$B$1:$J$1,0))=1,"Yes","-"),"?"))))</f>
        <v/>
      </c>
      <c r="O30" s="8">
        <f>IF($F30="(none - every role)","All",IF($F30="DEV","Dev build",IF($F30="GUEST","n/a - guest",IFERROR(IF(INDEX('Permission matrix'!$B$2:$J$56,MATCH($F30,'Permission matrix'!$A$2:$A$56,0),MATCH(O$1,'Permission matrix'!$B$1:$J$1,0))=1,"Yes","-"),"?"))))</f>
        <v/>
      </c>
    </row>
    <row r="31">
      <c r="A31" s="5" t="inlineStr">
        <is>
          <t>Kitchen operations</t>
        </is>
      </c>
      <c r="B31" s="6" t="inlineStr">
        <is>
          <t>Kitchen ticket</t>
        </is>
      </c>
      <c r="C31" s="6" t="inlineStr">
        <is>
          <t>/kitchen/:ticketId</t>
        </is>
      </c>
      <c r="D31" s="6" t="inlineStr">
        <is>
          <t>Staff (web/PWA)</t>
        </is>
      </c>
      <c r="E31" s="7" t="inlineStr">
        <is>
          <t>One ticket in detail: items, modifiers, allergens, waiting time.</t>
        </is>
      </c>
      <c r="F31" s="6" t="inlineStr">
        <is>
          <t>kot.view</t>
        </is>
      </c>
      <c r="G31" s="8">
        <f>IF($F31="(none - every role)","All",IF($F31="DEV","Dev build",IF($F31="GUEST","n/a - guest",IFERROR(IF(INDEX('Permission matrix'!$B$2:$J$56,MATCH($F31,'Permission matrix'!$A$2:$A$56,0),MATCH(G$1,'Permission matrix'!$B$1:$J$1,0))=1,"Yes","-"),"?"))))</f>
        <v/>
      </c>
      <c r="H31" s="8">
        <f>IF($F31="(none - every role)","All",IF($F31="DEV","Dev build",IF($F31="GUEST","n/a - guest",IFERROR(IF(INDEX('Permission matrix'!$B$2:$J$56,MATCH($F31,'Permission matrix'!$A$2:$A$56,0),MATCH(H$1,'Permission matrix'!$B$1:$J$1,0))=1,"Yes","-"),"?"))))</f>
        <v/>
      </c>
      <c r="I31" s="8">
        <f>IF($F31="(none - every role)","All",IF($F31="DEV","Dev build",IF($F31="GUEST","n/a - guest",IFERROR(IF(INDEX('Permission matrix'!$B$2:$J$56,MATCH($F31,'Permission matrix'!$A$2:$A$56,0),MATCH(I$1,'Permission matrix'!$B$1:$J$1,0))=1,"Yes","-"),"?"))))</f>
        <v/>
      </c>
      <c r="J31" s="8">
        <f>IF($F31="(none - every role)","All",IF($F31="DEV","Dev build",IF($F31="GUEST","n/a - guest",IFERROR(IF(INDEX('Permission matrix'!$B$2:$J$56,MATCH($F31,'Permission matrix'!$A$2:$A$56,0),MATCH(J$1,'Permission matrix'!$B$1:$J$1,0))=1,"Yes","-"),"?"))))</f>
        <v/>
      </c>
      <c r="K31" s="8">
        <f>IF($F31="(none - every role)","All",IF($F31="DEV","Dev build",IF($F31="GUEST","n/a - guest",IFERROR(IF(INDEX('Permission matrix'!$B$2:$J$56,MATCH($F31,'Permission matrix'!$A$2:$A$56,0),MATCH(K$1,'Permission matrix'!$B$1:$J$1,0))=1,"Yes","-"),"?"))))</f>
        <v/>
      </c>
      <c r="L31" s="8">
        <f>IF($F31="(none - every role)","All",IF($F31="DEV","Dev build",IF($F31="GUEST","n/a - guest",IFERROR(IF(INDEX('Permission matrix'!$B$2:$J$56,MATCH($F31,'Permission matrix'!$A$2:$A$56,0),MATCH(L$1,'Permission matrix'!$B$1:$J$1,0))=1,"Yes","-"),"?"))))</f>
        <v/>
      </c>
      <c r="M31" s="8">
        <f>IF($F31="(none - every role)","All",IF($F31="DEV","Dev build",IF($F31="GUEST","n/a - guest",IFERROR(IF(INDEX('Permission matrix'!$B$2:$J$56,MATCH($F31,'Permission matrix'!$A$2:$A$56,0),MATCH(M$1,'Permission matrix'!$B$1:$J$1,0))=1,"Yes","-"),"?"))))</f>
        <v/>
      </c>
      <c r="N31" s="8">
        <f>IF($F31="(none - every role)","All",IF($F31="DEV","Dev build",IF($F31="GUEST","n/a - guest",IFERROR(IF(INDEX('Permission matrix'!$B$2:$J$56,MATCH($F31,'Permission matrix'!$A$2:$A$56,0),MATCH(N$1,'Permission matrix'!$B$1:$J$1,0))=1,"Yes","-"),"?"))))</f>
        <v/>
      </c>
      <c r="O31" s="8">
        <f>IF($F31="(none - every role)","All",IF($F31="DEV","Dev build",IF($F31="GUEST","n/a - guest",IFERROR(IF(INDEX('Permission matrix'!$B$2:$J$56,MATCH($F31,'Permission matrix'!$A$2:$A$56,0),MATCH(O$1,'Permission matrix'!$B$1:$J$1,0))=1,"Yes","-"),"?"))))</f>
        <v/>
      </c>
    </row>
    <row r="32">
      <c r="A32" s="5" t="inlineStr">
        <is>
          <t>Customer management</t>
        </is>
      </c>
      <c r="B32" s="6" t="inlineStr">
        <is>
          <t>Customers</t>
        </is>
      </c>
      <c r="C32" s="6" t="inlineStr">
        <is>
          <t>/customers</t>
        </is>
      </c>
      <c r="D32" s="6" t="inlineStr">
        <is>
          <t>Staff (web/PWA)</t>
        </is>
      </c>
      <c r="E32" s="7" t="inlineStr">
        <is>
          <t>The diner list for this restaurant. Not the whole organisation's.</t>
        </is>
      </c>
      <c r="F32" s="6" t="inlineStr">
        <is>
          <t>customer.view</t>
        </is>
      </c>
      <c r="G32" s="8">
        <f>IF($F32="(none - every role)","All",IF($F32="DEV","Dev build",IF($F32="GUEST","n/a - guest",IFERROR(IF(INDEX('Permission matrix'!$B$2:$J$56,MATCH($F32,'Permission matrix'!$A$2:$A$56,0),MATCH(G$1,'Permission matrix'!$B$1:$J$1,0))=1,"Yes","-"),"?"))))</f>
        <v/>
      </c>
      <c r="H32" s="8">
        <f>IF($F32="(none - every role)","All",IF($F32="DEV","Dev build",IF($F32="GUEST","n/a - guest",IFERROR(IF(INDEX('Permission matrix'!$B$2:$J$56,MATCH($F32,'Permission matrix'!$A$2:$A$56,0),MATCH(H$1,'Permission matrix'!$B$1:$J$1,0))=1,"Yes","-"),"?"))))</f>
        <v/>
      </c>
      <c r="I32" s="8">
        <f>IF($F32="(none - every role)","All",IF($F32="DEV","Dev build",IF($F32="GUEST","n/a - guest",IFERROR(IF(INDEX('Permission matrix'!$B$2:$J$56,MATCH($F32,'Permission matrix'!$A$2:$A$56,0),MATCH(I$1,'Permission matrix'!$B$1:$J$1,0))=1,"Yes","-"),"?"))))</f>
        <v/>
      </c>
      <c r="J32" s="8">
        <f>IF($F32="(none - every role)","All",IF($F32="DEV","Dev build",IF($F32="GUEST","n/a - guest",IFERROR(IF(INDEX('Permission matrix'!$B$2:$J$56,MATCH($F32,'Permission matrix'!$A$2:$A$56,0),MATCH(J$1,'Permission matrix'!$B$1:$J$1,0))=1,"Yes","-"),"?"))))</f>
        <v/>
      </c>
      <c r="K32" s="8">
        <f>IF($F32="(none - every role)","All",IF($F32="DEV","Dev build",IF($F32="GUEST","n/a - guest",IFERROR(IF(INDEX('Permission matrix'!$B$2:$J$56,MATCH($F32,'Permission matrix'!$A$2:$A$56,0),MATCH(K$1,'Permission matrix'!$B$1:$J$1,0))=1,"Yes","-"),"?"))))</f>
        <v/>
      </c>
      <c r="L32" s="8">
        <f>IF($F32="(none - every role)","All",IF($F32="DEV","Dev build",IF($F32="GUEST","n/a - guest",IFERROR(IF(INDEX('Permission matrix'!$B$2:$J$56,MATCH($F32,'Permission matrix'!$A$2:$A$56,0),MATCH(L$1,'Permission matrix'!$B$1:$J$1,0))=1,"Yes","-"),"?"))))</f>
        <v/>
      </c>
      <c r="M32" s="8">
        <f>IF($F32="(none - every role)","All",IF($F32="DEV","Dev build",IF($F32="GUEST","n/a - guest",IFERROR(IF(INDEX('Permission matrix'!$B$2:$J$56,MATCH($F32,'Permission matrix'!$A$2:$A$56,0),MATCH(M$1,'Permission matrix'!$B$1:$J$1,0))=1,"Yes","-"),"?"))))</f>
        <v/>
      </c>
      <c r="N32" s="8">
        <f>IF($F32="(none - every role)","All",IF($F32="DEV","Dev build",IF($F32="GUEST","n/a - guest",IFERROR(IF(INDEX('Permission matrix'!$B$2:$J$56,MATCH($F32,'Permission matrix'!$A$2:$A$56,0),MATCH(N$1,'Permission matrix'!$B$1:$J$1,0))=1,"Yes","-"),"?"))))</f>
        <v/>
      </c>
      <c r="O32" s="8">
        <f>IF($F32="(none - every role)","All",IF($F32="DEV","Dev build",IF($F32="GUEST","n/a - guest",IFERROR(IF(INDEX('Permission matrix'!$B$2:$J$56,MATCH($F32,'Permission matrix'!$A$2:$A$56,0),MATCH(O$1,'Permission matrix'!$B$1:$J$1,0))=1,"Yes","-"),"?"))))</f>
        <v/>
      </c>
    </row>
    <row r="33">
      <c r="A33" s="5" t="inlineStr">
        <is>
          <t>Customer management</t>
        </is>
      </c>
      <c r="B33" s="6" t="inlineStr">
        <is>
          <t>Customer card</t>
        </is>
      </c>
      <c r="C33" s="6" t="inlineStr">
        <is>
          <t>/customers/:customerId</t>
        </is>
      </c>
      <c r="D33" s="6" t="inlineStr">
        <is>
          <t>Staff (web/PWA)</t>
        </is>
      </c>
      <c r="E33" s="7" t="inlineStr">
        <is>
          <t>Visits, usual order, preferences, allergies. Editing and erasure need customer.manage.</t>
        </is>
      </c>
      <c r="F33" s="6" t="inlineStr">
        <is>
          <t>customer.view</t>
        </is>
      </c>
      <c r="G33" s="8">
        <f>IF($F33="(none - every role)","All",IF($F33="DEV","Dev build",IF($F33="GUEST","n/a - guest",IFERROR(IF(INDEX('Permission matrix'!$B$2:$J$56,MATCH($F33,'Permission matrix'!$A$2:$A$56,0),MATCH(G$1,'Permission matrix'!$B$1:$J$1,0))=1,"Yes","-"),"?"))))</f>
        <v/>
      </c>
      <c r="H33" s="8">
        <f>IF($F33="(none - every role)","All",IF($F33="DEV","Dev build",IF($F33="GUEST","n/a - guest",IFERROR(IF(INDEX('Permission matrix'!$B$2:$J$56,MATCH($F33,'Permission matrix'!$A$2:$A$56,0),MATCH(H$1,'Permission matrix'!$B$1:$J$1,0))=1,"Yes","-"),"?"))))</f>
        <v/>
      </c>
      <c r="I33" s="8">
        <f>IF($F33="(none - every role)","All",IF($F33="DEV","Dev build",IF($F33="GUEST","n/a - guest",IFERROR(IF(INDEX('Permission matrix'!$B$2:$J$56,MATCH($F33,'Permission matrix'!$A$2:$A$56,0),MATCH(I$1,'Permission matrix'!$B$1:$J$1,0))=1,"Yes","-"),"?"))))</f>
        <v/>
      </c>
      <c r="J33" s="8">
        <f>IF($F33="(none - every role)","All",IF($F33="DEV","Dev build",IF($F33="GUEST","n/a - guest",IFERROR(IF(INDEX('Permission matrix'!$B$2:$J$56,MATCH($F33,'Permission matrix'!$A$2:$A$56,0),MATCH(J$1,'Permission matrix'!$B$1:$J$1,0))=1,"Yes","-"),"?"))))</f>
        <v/>
      </c>
      <c r="K33" s="8">
        <f>IF($F33="(none - every role)","All",IF($F33="DEV","Dev build",IF($F33="GUEST","n/a - guest",IFERROR(IF(INDEX('Permission matrix'!$B$2:$J$56,MATCH($F33,'Permission matrix'!$A$2:$A$56,0),MATCH(K$1,'Permission matrix'!$B$1:$J$1,0))=1,"Yes","-"),"?"))))</f>
        <v/>
      </c>
      <c r="L33" s="8">
        <f>IF($F33="(none - every role)","All",IF($F33="DEV","Dev build",IF($F33="GUEST","n/a - guest",IFERROR(IF(INDEX('Permission matrix'!$B$2:$J$56,MATCH($F33,'Permission matrix'!$A$2:$A$56,0),MATCH(L$1,'Permission matrix'!$B$1:$J$1,0))=1,"Yes","-"),"?"))))</f>
        <v/>
      </c>
      <c r="M33" s="8">
        <f>IF($F33="(none - every role)","All",IF($F33="DEV","Dev build",IF($F33="GUEST","n/a - guest",IFERROR(IF(INDEX('Permission matrix'!$B$2:$J$56,MATCH($F33,'Permission matrix'!$A$2:$A$56,0),MATCH(M$1,'Permission matrix'!$B$1:$J$1,0))=1,"Yes","-"),"?"))))</f>
        <v/>
      </c>
      <c r="N33" s="8">
        <f>IF($F33="(none - every role)","All",IF($F33="DEV","Dev build",IF($F33="GUEST","n/a - guest",IFERROR(IF(INDEX('Permission matrix'!$B$2:$J$56,MATCH($F33,'Permission matrix'!$A$2:$A$56,0),MATCH(N$1,'Permission matrix'!$B$1:$J$1,0))=1,"Yes","-"),"?"))))</f>
        <v/>
      </c>
      <c r="O33" s="8">
        <f>IF($F33="(none - every role)","All",IF($F33="DEV","Dev build",IF($F33="GUEST","n/a - guest",IFERROR(IF(INDEX('Permission matrix'!$B$2:$J$56,MATCH($F33,'Permission matrix'!$A$2:$A$56,0),MATCH(O$1,'Permission matrix'!$B$1:$J$1,0))=1,"Yes","-"),"?"))))</f>
        <v/>
      </c>
    </row>
    <row r="34">
      <c r="A34" s="5" t="inlineStr">
        <is>
          <t>Customer management</t>
        </is>
      </c>
      <c r="B34" s="6" t="inlineStr">
        <is>
          <t>Feedback</t>
        </is>
      </c>
      <c r="C34" s="6" t="inlineStr">
        <is>
          <t>/feedback</t>
        </is>
      </c>
      <c r="D34" s="6" t="inlineStr">
        <is>
          <t>Staff (web/PWA)</t>
        </is>
      </c>
      <c r="E34" s="7" t="inlineStr">
        <is>
          <t>The three bill-QR questions, per order and per day. A waiter sees their tables' ratings.</t>
        </is>
      </c>
      <c r="F34" s="6" t="inlineStr">
        <is>
          <t>feedback.view</t>
        </is>
      </c>
      <c r="G34" s="8">
        <f>IF($F34="(none - every role)","All",IF($F34="DEV","Dev build",IF($F34="GUEST","n/a - guest",IFERROR(IF(INDEX('Permission matrix'!$B$2:$J$56,MATCH($F34,'Permission matrix'!$A$2:$A$56,0),MATCH(G$1,'Permission matrix'!$B$1:$J$1,0))=1,"Yes","-"),"?"))))</f>
        <v/>
      </c>
      <c r="H34" s="8">
        <f>IF($F34="(none - every role)","All",IF($F34="DEV","Dev build",IF($F34="GUEST","n/a - guest",IFERROR(IF(INDEX('Permission matrix'!$B$2:$J$56,MATCH($F34,'Permission matrix'!$A$2:$A$56,0),MATCH(H$1,'Permission matrix'!$B$1:$J$1,0))=1,"Yes","-"),"?"))))</f>
        <v/>
      </c>
      <c r="I34" s="8">
        <f>IF($F34="(none - every role)","All",IF($F34="DEV","Dev build",IF($F34="GUEST","n/a - guest",IFERROR(IF(INDEX('Permission matrix'!$B$2:$J$56,MATCH($F34,'Permission matrix'!$A$2:$A$56,0),MATCH(I$1,'Permission matrix'!$B$1:$J$1,0))=1,"Yes","-"),"?"))))</f>
        <v/>
      </c>
      <c r="J34" s="8">
        <f>IF($F34="(none - every role)","All",IF($F34="DEV","Dev build",IF($F34="GUEST","n/a - guest",IFERROR(IF(INDEX('Permission matrix'!$B$2:$J$56,MATCH($F34,'Permission matrix'!$A$2:$A$56,0),MATCH(J$1,'Permission matrix'!$B$1:$J$1,0))=1,"Yes","-"),"?"))))</f>
        <v/>
      </c>
      <c r="K34" s="8">
        <f>IF($F34="(none - every role)","All",IF($F34="DEV","Dev build",IF($F34="GUEST","n/a - guest",IFERROR(IF(INDEX('Permission matrix'!$B$2:$J$56,MATCH($F34,'Permission matrix'!$A$2:$A$56,0),MATCH(K$1,'Permission matrix'!$B$1:$J$1,0))=1,"Yes","-"),"?"))))</f>
        <v/>
      </c>
      <c r="L34" s="8">
        <f>IF($F34="(none - every role)","All",IF($F34="DEV","Dev build",IF($F34="GUEST","n/a - guest",IFERROR(IF(INDEX('Permission matrix'!$B$2:$J$56,MATCH($F34,'Permission matrix'!$A$2:$A$56,0),MATCH(L$1,'Permission matrix'!$B$1:$J$1,0))=1,"Yes","-"),"?"))))</f>
        <v/>
      </c>
      <c r="M34" s="8">
        <f>IF($F34="(none - every role)","All",IF($F34="DEV","Dev build",IF($F34="GUEST","n/a - guest",IFERROR(IF(INDEX('Permission matrix'!$B$2:$J$56,MATCH($F34,'Permission matrix'!$A$2:$A$56,0),MATCH(M$1,'Permission matrix'!$B$1:$J$1,0))=1,"Yes","-"),"?"))))</f>
        <v/>
      </c>
      <c r="N34" s="8">
        <f>IF($F34="(none - every role)","All",IF($F34="DEV","Dev build",IF($F34="GUEST","n/a - guest",IFERROR(IF(INDEX('Permission matrix'!$B$2:$J$56,MATCH($F34,'Permission matrix'!$A$2:$A$56,0),MATCH(N$1,'Permission matrix'!$B$1:$J$1,0))=1,"Yes","-"),"?"))))</f>
        <v/>
      </c>
      <c r="O34" s="8">
        <f>IF($F34="(none - every role)","All",IF($F34="DEV","Dev build",IF($F34="GUEST","n/a - guest",IFERROR(IF(INDEX('Permission matrix'!$B$2:$J$56,MATCH($F34,'Permission matrix'!$A$2:$A$56,0),MATCH(O$1,'Permission matrix'!$B$1:$J$1,0))=1,"Yes","-"),"?"))))</f>
        <v/>
      </c>
    </row>
    <row r="35">
      <c r="A35" s="5" t="inlineStr">
        <is>
          <t>Customer management</t>
        </is>
      </c>
      <c r="B35" s="6" t="inlineStr">
        <is>
          <t>Complaints</t>
        </is>
      </c>
      <c r="C35" s="6" t="inlineStr">
        <is>
          <t>/complaints</t>
        </is>
      </c>
      <c r="D35" s="6" t="inlineStr">
        <is>
          <t>Staff (web/PWA)</t>
        </is>
      </c>
      <c r="E35" s="7" t="inlineStr">
        <is>
          <t>Log a complaint, give it an owner, record the remedy. Recovery derived from the order ledger.</t>
        </is>
      </c>
      <c r="F35" s="6" t="inlineStr">
        <is>
          <t>complaint.manage</t>
        </is>
      </c>
      <c r="G35" s="8">
        <f>IF($F35="(none - every role)","All",IF($F35="DEV","Dev build",IF($F35="GUEST","n/a - guest",IFERROR(IF(INDEX('Permission matrix'!$B$2:$J$56,MATCH($F35,'Permission matrix'!$A$2:$A$56,0),MATCH(G$1,'Permission matrix'!$B$1:$J$1,0))=1,"Yes","-"),"?"))))</f>
        <v/>
      </c>
      <c r="H35" s="8">
        <f>IF($F35="(none - every role)","All",IF($F35="DEV","Dev build",IF($F35="GUEST","n/a - guest",IFERROR(IF(INDEX('Permission matrix'!$B$2:$J$56,MATCH($F35,'Permission matrix'!$A$2:$A$56,0),MATCH(H$1,'Permission matrix'!$B$1:$J$1,0))=1,"Yes","-"),"?"))))</f>
        <v/>
      </c>
      <c r="I35" s="8">
        <f>IF($F35="(none - every role)","All",IF($F35="DEV","Dev build",IF($F35="GUEST","n/a - guest",IFERROR(IF(INDEX('Permission matrix'!$B$2:$J$56,MATCH($F35,'Permission matrix'!$A$2:$A$56,0),MATCH(I$1,'Permission matrix'!$B$1:$J$1,0))=1,"Yes","-"),"?"))))</f>
        <v/>
      </c>
      <c r="J35" s="8">
        <f>IF($F35="(none - every role)","All",IF($F35="DEV","Dev build",IF($F35="GUEST","n/a - guest",IFERROR(IF(INDEX('Permission matrix'!$B$2:$J$56,MATCH($F35,'Permission matrix'!$A$2:$A$56,0),MATCH(J$1,'Permission matrix'!$B$1:$J$1,0))=1,"Yes","-"),"?"))))</f>
        <v/>
      </c>
      <c r="K35" s="8">
        <f>IF($F35="(none - every role)","All",IF($F35="DEV","Dev build",IF($F35="GUEST","n/a - guest",IFERROR(IF(INDEX('Permission matrix'!$B$2:$J$56,MATCH($F35,'Permission matrix'!$A$2:$A$56,0),MATCH(K$1,'Permission matrix'!$B$1:$J$1,0))=1,"Yes","-"),"?"))))</f>
        <v/>
      </c>
      <c r="L35" s="8">
        <f>IF($F35="(none - every role)","All",IF($F35="DEV","Dev build",IF($F35="GUEST","n/a - guest",IFERROR(IF(INDEX('Permission matrix'!$B$2:$J$56,MATCH($F35,'Permission matrix'!$A$2:$A$56,0),MATCH(L$1,'Permission matrix'!$B$1:$J$1,0))=1,"Yes","-"),"?"))))</f>
        <v/>
      </c>
      <c r="M35" s="8">
        <f>IF($F35="(none - every role)","All",IF($F35="DEV","Dev build",IF($F35="GUEST","n/a - guest",IFERROR(IF(INDEX('Permission matrix'!$B$2:$J$56,MATCH($F35,'Permission matrix'!$A$2:$A$56,0),MATCH(M$1,'Permission matrix'!$B$1:$J$1,0))=1,"Yes","-"),"?"))))</f>
        <v/>
      </c>
      <c r="N35" s="8">
        <f>IF($F35="(none - every role)","All",IF($F35="DEV","Dev build",IF($F35="GUEST","n/a - guest",IFERROR(IF(INDEX('Permission matrix'!$B$2:$J$56,MATCH($F35,'Permission matrix'!$A$2:$A$56,0),MATCH(N$1,'Permission matrix'!$B$1:$J$1,0))=1,"Yes","-"),"?"))))</f>
        <v/>
      </c>
      <c r="O35" s="8">
        <f>IF($F35="(none - every role)","All",IF($F35="DEV","Dev build",IF($F35="GUEST","n/a - guest",IFERROR(IF(INDEX('Permission matrix'!$B$2:$J$56,MATCH($F35,'Permission matrix'!$A$2:$A$56,0),MATCH(O$1,'Permission matrix'!$B$1:$J$1,0))=1,"Yes","-"),"?"))))</f>
        <v/>
      </c>
    </row>
    <row r="36">
      <c r="A36" s="5" t="inlineStr">
        <is>
          <t>Staff management</t>
        </is>
      </c>
      <c r="B36" s="6" t="inlineStr">
        <is>
          <t>Staff list</t>
        </is>
      </c>
      <c r="C36" s="6" t="inlineStr">
        <is>
          <t>/staff</t>
        </is>
      </c>
      <c r="D36" s="6" t="inlineStr">
        <is>
          <t>Staff (web/PWA)</t>
        </is>
      </c>
      <c r="E36" s="7" t="inlineStr">
        <is>
          <t>Every employee at this restaurant and their roles.</t>
        </is>
      </c>
      <c r="F36" s="6" t="inlineStr">
        <is>
          <t>employee.view</t>
        </is>
      </c>
      <c r="G36" s="8">
        <f>IF($F36="(none - every role)","All",IF($F36="DEV","Dev build",IF($F36="GUEST","n/a - guest",IFERROR(IF(INDEX('Permission matrix'!$B$2:$J$56,MATCH($F36,'Permission matrix'!$A$2:$A$56,0),MATCH(G$1,'Permission matrix'!$B$1:$J$1,0))=1,"Yes","-"),"?"))))</f>
        <v/>
      </c>
      <c r="H36" s="8">
        <f>IF($F36="(none - every role)","All",IF($F36="DEV","Dev build",IF($F36="GUEST","n/a - guest",IFERROR(IF(INDEX('Permission matrix'!$B$2:$J$56,MATCH($F36,'Permission matrix'!$A$2:$A$56,0),MATCH(H$1,'Permission matrix'!$B$1:$J$1,0))=1,"Yes","-"),"?"))))</f>
        <v/>
      </c>
      <c r="I36" s="8">
        <f>IF($F36="(none - every role)","All",IF($F36="DEV","Dev build",IF($F36="GUEST","n/a - guest",IFERROR(IF(INDEX('Permission matrix'!$B$2:$J$56,MATCH($F36,'Permission matrix'!$A$2:$A$56,0),MATCH(I$1,'Permission matrix'!$B$1:$J$1,0))=1,"Yes","-"),"?"))))</f>
        <v/>
      </c>
      <c r="J36" s="8">
        <f>IF($F36="(none - every role)","All",IF($F36="DEV","Dev build",IF($F36="GUEST","n/a - guest",IFERROR(IF(INDEX('Permission matrix'!$B$2:$J$56,MATCH($F36,'Permission matrix'!$A$2:$A$56,0),MATCH(J$1,'Permission matrix'!$B$1:$J$1,0))=1,"Yes","-"),"?"))))</f>
        <v/>
      </c>
      <c r="K36" s="8">
        <f>IF($F36="(none - every role)","All",IF($F36="DEV","Dev build",IF($F36="GUEST","n/a - guest",IFERROR(IF(INDEX('Permission matrix'!$B$2:$J$56,MATCH($F36,'Permission matrix'!$A$2:$A$56,0),MATCH(K$1,'Permission matrix'!$B$1:$J$1,0))=1,"Yes","-"),"?"))))</f>
        <v/>
      </c>
      <c r="L36" s="8">
        <f>IF($F36="(none - every role)","All",IF($F36="DEV","Dev build",IF($F36="GUEST","n/a - guest",IFERROR(IF(INDEX('Permission matrix'!$B$2:$J$56,MATCH($F36,'Permission matrix'!$A$2:$A$56,0),MATCH(L$1,'Permission matrix'!$B$1:$J$1,0))=1,"Yes","-"),"?"))))</f>
        <v/>
      </c>
      <c r="M36" s="8">
        <f>IF($F36="(none - every role)","All",IF($F36="DEV","Dev build",IF($F36="GUEST","n/a - guest",IFERROR(IF(INDEX('Permission matrix'!$B$2:$J$56,MATCH($F36,'Permission matrix'!$A$2:$A$56,0),MATCH(M$1,'Permission matrix'!$B$1:$J$1,0))=1,"Yes","-"),"?"))))</f>
        <v/>
      </c>
      <c r="N36" s="8">
        <f>IF($F36="(none - every role)","All",IF($F36="DEV","Dev build",IF($F36="GUEST","n/a - guest",IFERROR(IF(INDEX('Permission matrix'!$B$2:$J$56,MATCH($F36,'Permission matrix'!$A$2:$A$56,0),MATCH(N$1,'Permission matrix'!$B$1:$J$1,0))=1,"Yes","-"),"?"))))</f>
        <v/>
      </c>
      <c r="O36" s="8">
        <f>IF($F36="(none - every role)","All",IF($F36="DEV","Dev build",IF($F36="GUEST","n/a - guest",IFERROR(IF(INDEX('Permission matrix'!$B$2:$J$56,MATCH($F36,'Permission matrix'!$A$2:$A$56,0),MATCH(O$1,'Permission matrix'!$B$1:$J$1,0))=1,"Yes","-"),"?"))))</f>
        <v/>
      </c>
    </row>
    <row r="37">
      <c r="A37" s="5" t="inlineStr">
        <is>
          <t>Staff management</t>
        </is>
      </c>
      <c r="B37" s="6" t="inlineStr">
        <is>
          <t>New employee</t>
        </is>
      </c>
      <c r="C37" s="6" t="inlineStr">
        <is>
          <t>/staff/new</t>
        </is>
      </c>
      <c r="D37" s="6" t="inlineStr">
        <is>
          <t>Staff (web/PWA)</t>
        </is>
      </c>
      <c r="E37" s="7" t="inlineStr">
        <is>
          <t>Add an employee, optionally with a login.</t>
        </is>
      </c>
      <c r="F37" s="6" t="inlineStr">
        <is>
          <t>employee.create</t>
        </is>
      </c>
      <c r="G37" s="8">
        <f>IF($F37="(none - every role)","All",IF($F37="DEV","Dev build",IF($F37="GUEST","n/a - guest",IFERROR(IF(INDEX('Permission matrix'!$B$2:$J$56,MATCH($F37,'Permission matrix'!$A$2:$A$56,0),MATCH(G$1,'Permission matrix'!$B$1:$J$1,0))=1,"Yes","-"),"?"))))</f>
        <v/>
      </c>
      <c r="H37" s="8">
        <f>IF($F37="(none - every role)","All",IF($F37="DEV","Dev build",IF($F37="GUEST","n/a - guest",IFERROR(IF(INDEX('Permission matrix'!$B$2:$J$56,MATCH($F37,'Permission matrix'!$A$2:$A$56,0),MATCH(H$1,'Permission matrix'!$B$1:$J$1,0))=1,"Yes","-"),"?"))))</f>
        <v/>
      </c>
      <c r="I37" s="8">
        <f>IF($F37="(none - every role)","All",IF($F37="DEV","Dev build",IF($F37="GUEST","n/a - guest",IFERROR(IF(INDEX('Permission matrix'!$B$2:$J$56,MATCH($F37,'Permission matrix'!$A$2:$A$56,0),MATCH(I$1,'Permission matrix'!$B$1:$J$1,0))=1,"Yes","-"),"?"))))</f>
        <v/>
      </c>
      <c r="J37" s="8">
        <f>IF($F37="(none - every role)","All",IF($F37="DEV","Dev build",IF($F37="GUEST","n/a - guest",IFERROR(IF(INDEX('Permission matrix'!$B$2:$J$56,MATCH($F37,'Permission matrix'!$A$2:$A$56,0),MATCH(J$1,'Permission matrix'!$B$1:$J$1,0))=1,"Yes","-"),"?"))))</f>
        <v/>
      </c>
      <c r="K37" s="8">
        <f>IF($F37="(none - every role)","All",IF($F37="DEV","Dev build",IF($F37="GUEST","n/a - guest",IFERROR(IF(INDEX('Permission matrix'!$B$2:$J$56,MATCH($F37,'Permission matrix'!$A$2:$A$56,0),MATCH(K$1,'Permission matrix'!$B$1:$J$1,0))=1,"Yes","-"),"?"))))</f>
        <v/>
      </c>
      <c r="L37" s="8">
        <f>IF($F37="(none - every role)","All",IF($F37="DEV","Dev build",IF($F37="GUEST","n/a - guest",IFERROR(IF(INDEX('Permission matrix'!$B$2:$J$56,MATCH($F37,'Permission matrix'!$A$2:$A$56,0),MATCH(L$1,'Permission matrix'!$B$1:$J$1,0))=1,"Yes","-"),"?"))))</f>
        <v/>
      </c>
      <c r="M37" s="8">
        <f>IF($F37="(none - every role)","All",IF($F37="DEV","Dev build",IF($F37="GUEST","n/a - guest",IFERROR(IF(INDEX('Permission matrix'!$B$2:$J$56,MATCH($F37,'Permission matrix'!$A$2:$A$56,0),MATCH(M$1,'Permission matrix'!$B$1:$J$1,0))=1,"Yes","-"),"?"))))</f>
        <v/>
      </c>
      <c r="N37" s="8">
        <f>IF($F37="(none - every role)","All",IF($F37="DEV","Dev build",IF($F37="GUEST","n/a - guest",IFERROR(IF(INDEX('Permission matrix'!$B$2:$J$56,MATCH($F37,'Permission matrix'!$A$2:$A$56,0),MATCH(N$1,'Permission matrix'!$B$1:$J$1,0))=1,"Yes","-"),"?"))))</f>
        <v/>
      </c>
      <c r="O37" s="8">
        <f>IF($F37="(none - every role)","All",IF($F37="DEV","Dev build",IF($F37="GUEST","n/a - guest",IFERROR(IF(INDEX('Permission matrix'!$B$2:$J$56,MATCH($F37,'Permission matrix'!$A$2:$A$56,0),MATCH(O$1,'Permission matrix'!$B$1:$J$1,0))=1,"Yes","-"),"?"))))</f>
        <v/>
      </c>
    </row>
    <row r="38">
      <c r="A38" s="5" t="inlineStr">
        <is>
          <t>Staff management</t>
        </is>
      </c>
      <c r="B38" s="6" t="inlineStr">
        <is>
          <t>Employee record</t>
        </is>
      </c>
      <c r="C38" s="6" t="inlineStr">
        <is>
          <t>/staff/:employeeId</t>
        </is>
      </c>
      <c r="D38" s="6" t="inlineStr">
        <is>
          <t>Staff (web/PWA)</t>
        </is>
      </c>
      <c r="E38" s="7" t="inlineStr">
        <is>
          <t>One employee: details, roles, password reset. Rank rules govern who may do what.</t>
        </is>
      </c>
      <c r="F38" s="6" t="inlineStr">
        <is>
          <t>employee.view</t>
        </is>
      </c>
      <c r="G38" s="8">
        <f>IF($F38="(none - every role)","All",IF($F38="DEV","Dev build",IF($F38="GUEST","n/a - guest",IFERROR(IF(INDEX('Permission matrix'!$B$2:$J$56,MATCH($F38,'Permission matrix'!$A$2:$A$56,0),MATCH(G$1,'Permission matrix'!$B$1:$J$1,0))=1,"Yes","-"),"?"))))</f>
        <v/>
      </c>
      <c r="H38" s="8">
        <f>IF($F38="(none - every role)","All",IF($F38="DEV","Dev build",IF($F38="GUEST","n/a - guest",IFERROR(IF(INDEX('Permission matrix'!$B$2:$J$56,MATCH($F38,'Permission matrix'!$A$2:$A$56,0),MATCH(H$1,'Permission matrix'!$B$1:$J$1,0))=1,"Yes","-"),"?"))))</f>
        <v/>
      </c>
      <c r="I38" s="8">
        <f>IF($F38="(none - every role)","All",IF($F38="DEV","Dev build",IF($F38="GUEST","n/a - guest",IFERROR(IF(INDEX('Permission matrix'!$B$2:$J$56,MATCH($F38,'Permission matrix'!$A$2:$A$56,0),MATCH(I$1,'Permission matrix'!$B$1:$J$1,0))=1,"Yes","-"),"?"))))</f>
        <v/>
      </c>
      <c r="J38" s="8">
        <f>IF($F38="(none - every role)","All",IF($F38="DEV","Dev build",IF($F38="GUEST","n/a - guest",IFERROR(IF(INDEX('Permission matrix'!$B$2:$J$56,MATCH($F38,'Permission matrix'!$A$2:$A$56,0),MATCH(J$1,'Permission matrix'!$B$1:$J$1,0))=1,"Yes","-"),"?"))))</f>
        <v/>
      </c>
      <c r="K38" s="8">
        <f>IF($F38="(none - every role)","All",IF($F38="DEV","Dev build",IF($F38="GUEST","n/a - guest",IFERROR(IF(INDEX('Permission matrix'!$B$2:$J$56,MATCH($F38,'Permission matrix'!$A$2:$A$56,0),MATCH(K$1,'Permission matrix'!$B$1:$J$1,0))=1,"Yes","-"),"?"))))</f>
        <v/>
      </c>
      <c r="L38" s="8">
        <f>IF($F38="(none - every role)","All",IF($F38="DEV","Dev build",IF($F38="GUEST","n/a - guest",IFERROR(IF(INDEX('Permission matrix'!$B$2:$J$56,MATCH($F38,'Permission matrix'!$A$2:$A$56,0),MATCH(L$1,'Permission matrix'!$B$1:$J$1,0))=1,"Yes","-"),"?"))))</f>
        <v/>
      </c>
      <c r="M38" s="8">
        <f>IF($F38="(none - every role)","All",IF($F38="DEV","Dev build",IF($F38="GUEST","n/a - guest",IFERROR(IF(INDEX('Permission matrix'!$B$2:$J$56,MATCH($F38,'Permission matrix'!$A$2:$A$56,0),MATCH(M$1,'Permission matrix'!$B$1:$J$1,0))=1,"Yes","-"),"?"))))</f>
        <v/>
      </c>
      <c r="N38" s="8">
        <f>IF($F38="(none - every role)","All",IF($F38="DEV","Dev build",IF($F38="GUEST","n/a - guest",IFERROR(IF(INDEX('Permission matrix'!$B$2:$J$56,MATCH($F38,'Permission matrix'!$A$2:$A$56,0),MATCH(N$1,'Permission matrix'!$B$1:$J$1,0))=1,"Yes","-"),"?"))))</f>
        <v/>
      </c>
      <c r="O38" s="8">
        <f>IF($F38="(none - every role)","All",IF($F38="DEV","Dev build",IF($F38="GUEST","n/a - guest",IFERROR(IF(INDEX('Permission matrix'!$B$2:$J$56,MATCH($F38,'Permission matrix'!$A$2:$A$56,0),MATCH(O$1,'Permission matrix'!$B$1:$J$1,0))=1,"Yes","-"),"?"))))</f>
        <v/>
      </c>
    </row>
    <row r="39">
      <c r="A39" s="5" t="inlineStr">
        <is>
          <t>Staff management</t>
        </is>
      </c>
      <c r="B39" s="6" t="inlineStr">
        <is>
          <t>My shifts</t>
        </is>
      </c>
      <c r="C39" s="6" t="inlineStr">
        <is>
          <t>/shifts</t>
        </is>
      </c>
      <c r="D39" s="6" t="inlineStr">
        <is>
          <t>Staff (web/PWA)</t>
        </is>
      </c>
      <c r="E39" s="7" t="inlineStr">
        <is>
          <t>Own roster and the clock-in button. Scope decides content, not the permission.</t>
        </is>
      </c>
      <c r="F39" s="6" t="inlineStr">
        <is>
          <t>shift.view</t>
        </is>
      </c>
      <c r="G39" s="8">
        <f>IF($F39="(none - every role)","All",IF($F39="DEV","Dev build",IF($F39="GUEST","n/a - guest",IFERROR(IF(INDEX('Permission matrix'!$B$2:$J$56,MATCH($F39,'Permission matrix'!$A$2:$A$56,0),MATCH(G$1,'Permission matrix'!$B$1:$J$1,0))=1,"Yes","-"),"?"))))</f>
        <v/>
      </c>
      <c r="H39" s="8">
        <f>IF($F39="(none - every role)","All",IF($F39="DEV","Dev build",IF($F39="GUEST","n/a - guest",IFERROR(IF(INDEX('Permission matrix'!$B$2:$J$56,MATCH($F39,'Permission matrix'!$A$2:$A$56,0),MATCH(H$1,'Permission matrix'!$B$1:$J$1,0))=1,"Yes","-"),"?"))))</f>
        <v/>
      </c>
      <c r="I39" s="8">
        <f>IF($F39="(none - every role)","All",IF($F39="DEV","Dev build",IF($F39="GUEST","n/a - guest",IFERROR(IF(INDEX('Permission matrix'!$B$2:$J$56,MATCH($F39,'Permission matrix'!$A$2:$A$56,0),MATCH(I$1,'Permission matrix'!$B$1:$J$1,0))=1,"Yes","-"),"?"))))</f>
        <v/>
      </c>
      <c r="J39" s="8">
        <f>IF($F39="(none - every role)","All",IF($F39="DEV","Dev build",IF($F39="GUEST","n/a - guest",IFERROR(IF(INDEX('Permission matrix'!$B$2:$J$56,MATCH($F39,'Permission matrix'!$A$2:$A$56,0),MATCH(J$1,'Permission matrix'!$B$1:$J$1,0))=1,"Yes","-"),"?"))))</f>
        <v/>
      </c>
      <c r="K39" s="8">
        <f>IF($F39="(none - every role)","All",IF($F39="DEV","Dev build",IF($F39="GUEST","n/a - guest",IFERROR(IF(INDEX('Permission matrix'!$B$2:$J$56,MATCH($F39,'Permission matrix'!$A$2:$A$56,0),MATCH(K$1,'Permission matrix'!$B$1:$J$1,0))=1,"Yes","-"),"?"))))</f>
        <v/>
      </c>
      <c r="L39" s="8">
        <f>IF($F39="(none - every role)","All",IF($F39="DEV","Dev build",IF($F39="GUEST","n/a - guest",IFERROR(IF(INDEX('Permission matrix'!$B$2:$J$56,MATCH($F39,'Permission matrix'!$A$2:$A$56,0),MATCH(L$1,'Permission matrix'!$B$1:$J$1,0))=1,"Yes","-"),"?"))))</f>
        <v/>
      </c>
      <c r="M39" s="8">
        <f>IF($F39="(none - every role)","All",IF($F39="DEV","Dev build",IF($F39="GUEST","n/a - guest",IFERROR(IF(INDEX('Permission matrix'!$B$2:$J$56,MATCH($F39,'Permission matrix'!$A$2:$A$56,0),MATCH(M$1,'Permission matrix'!$B$1:$J$1,0))=1,"Yes","-"),"?"))))</f>
        <v/>
      </c>
      <c r="N39" s="8">
        <f>IF($F39="(none - every role)","All",IF($F39="DEV","Dev build",IF($F39="GUEST","n/a - guest",IFERROR(IF(INDEX('Permission matrix'!$B$2:$J$56,MATCH($F39,'Permission matrix'!$A$2:$A$56,0),MATCH(N$1,'Permission matrix'!$B$1:$J$1,0))=1,"Yes","-"),"?"))))</f>
        <v/>
      </c>
      <c r="O39" s="8">
        <f>IF($F39="(none - every role)","All",IF($F39="DEV","Dev build",IF($F39="GUEST","n/a - guest",IFERROR(IF(INDEX('Permission matrix'!$B$2:$J$56,MATCH($F39,'Permission matrix'!$A$2:$A$56,0),MATCH(O$1,'Permission matrix'!$B$1:$J$1,0))=1,"Yes","-"),"?"))))</f>
        <v/>
      </c>
    </row>
    <row r="40">
      <c r="A40" s="5" t="inlineStr">
        <is>
          <t>Staff management</t>
        </is>
      </c>
      <c r="B40" s="6" t="inlineStr">
        <is>
          <t>Roster</t>
        </is>
      </c>
      <c r="C40" s="6" t="inlineStr">
        <is>
          <t>/shifts/roster</t>
        </is>
      </c>
      <c r="D40" s="6" t="inlineStr">
        <is>
          <t>Staff (web/PWA)</t>
        </is>
      </c>
      <c r="E40" s="7" t="inlineStr">
        <is>
          <t>The week's roster. Staffing and clock corrections need shift.manage.</t>
        </is>
      </c>
      <c r="F40" s="6" t="inlineStr">
        <is>
          <t>shift.view</t>
        </is>
      </c>
      <c r="G40" s="8">
        <f>IF($F40="(none - every role)","All",IF($F40="DEV","Dev build",IF($F40="GUEST","n/a - guest",IFERROR(IF(INDEX('Permission matrix'!$B$2:$J$56,MATCH($F40,'Permission matrix'!$A$2:$A$56,0),MATCH(G$1,'Permission matrix'!$B$1:$J$1,0))=1,"Yes","-"),"?"))))</f>
        <v/>
      </c>
      <c r="H40" s="8">
        <f>IF($F40="(none - every role)","All",IF($F40="DEV","Dev build",IF($F40="GUEST","n/a - guest",IFERROR(IF(INDEX('Permission matrix'!$B$2:$J$56,MATCH($F40,'Permission matrix'!$A$2:$A$56,0),MATCH(H$1,'Permission matrix'!$B$1:$J$1,0))=1,"Yes","-"),"?"))))</f>
        <v/>
      </c>
      <c r="I40" s="8">
        <f>IF($F40="(none - every role)","All",IF($F40="DEV","Dev build",IF($F40="GUEST","n/a - guest",IFERROR(IF(INDEX('Permission matrix'!$B$2:$J$56,MATCH($F40,'Permission matrix'!$A$2:$A$56,0),MATCH(I$1,'Permission matrix'!$B$1:$J$1,0))=1,"Yes","-"),"?"))))</f>
        <v/>
      </c>
      <c r="J40" s="8">
        <f>IF($F40="(none - every role)","All",IF($F40="DEV","Dev build",IF($F40="GUEST","n/a - guest",IFERROR(IF(INDEX('Permission matrix'!$B$2:$J$56,MATCH($F40,'Permission matrix'!$A$2:$A$56,0),MATCH(J$1,'Permission matrix'!$B$1:$J$1,0))=1,"Yes","-"),"?"))))</f>
        <v/>
      </c>
      <c r="K40" s="8">
        <f>IF($F40="(none - every role)","All",IF($F40="DEV","Dev build",IF($F40="GUEST","n/a - guest",IFERROR(IF(INDEX('Permission matrix'!$B$2:$J$56,MATCH($F40,'Permission matrix'!$A$2:$A$56,0),MATCH(K$1,'Permission matrix'!$B$1:$J$1,0))=1,"Yes","-"),"?"))))</f>
        <v/>
      </c>
      <c r="L40" s="8">
        <f>IF($F40="(none - every role)","All",IF($F40="DEV","Dev build",IF($F40="GUEST","n/a - guest",IFERROR(IF(INDEX('Permission matrix'!$B$2:$J$56,MATCH($F40,'Permission matrix'!$A$2:$A$56,0),MATCH(L$1,'Permission matrix'!$B$1:$J$1,0))=1,"Yes","-"),"?"))))</f>
        <v/>
      </c>
      <c r="M40" s="8">
        <f>IF($F40="(none - every role)","All",IF($F40="DEV","Dev build",IF($F40="GUEST","n/a - guest",IFERROR(IF(INDEX('Permission matrix'!$B$2:$J$56,MATCH($F40,'Permission matrix'!$A$2:$A$56,0),MATCH(M$1,'Permission matrix'!$B$1:$J$1,0))=1,"Yes","-"),"?"))))</f>
        <v/>
      </c>
      <c r="N40" s="8">
        <f>IF($F40="(none - every role)","All",IF($F40="DEV","Dev build",IF($F40="GUEST","n/a - guest",IFERROR(IF(INDEX('Permission matrix'!$B$2:$J$56,MATCH($F40,'Permission matrix'!$A$2:$A$56,0),MATCH(N$1,'Permission matrix'!$B$1:$J$1,0))=1,"Yes","-"),"?"))))</f>
        <v/>
      </c>
      <c r="O40" s="8">
        <f>IF($F40="(none - every role)","All",IF($F40="DEV","Dev build",IF($F40="GUEST","n/a - guest",IFERROR(IF(INDEX('Permission matrix'!$B$2:$J$56,MATCH($F40,'Permission matrix'!$A$2:$A$56,0),MATCH(O$1,'Permission matrix'!$B$1:$J$1,0))=1,"Yes","-"),"?"))))</f>
        <v/>
      </c>
    </row>
    <row r="41">
      <c r="A41" s="5" t="inlineStr">
        <is>
          <t>Staff performance</t>
        </is>
      </c>
      <c r="B41" s="6" t="inlineStr">
        <is>
          <t>My performance</t>
        </is>
      </c>
      <c r="C41" s="6" t="inlineStr">
        <is>
          <t>/my-performance</t>
        </is>
      </c>
      <c r="D41" s="6" t="inlineStr">
        <is>
          <t>Staff (web/PWA)</t>
        </is>
      </c>
      <c r="E41" s="7" t="inlineStr">
        <is>
          <t>Own figures and every input behind them. Structural: no permission, never removable.</t>
        </is>
      </c>
      <c r="F41" s="6" t="inlineStr">
        <is>
          <t>(none - every role)</t>
        </is>
      </c>
      <c r="G41" s="8">
        <f>IF($F41="(none - every role)","All",IF($F41="DEV","Dev build",IF($F41="GUEST","n/a - guest",IFERROR(IF(INDEX('Permission matrix'!$B$2:$J$56,MATCH($F41,'Permission matrix'!$A$2:$A$56,0),MATCH(G$1,'Permission matrix'!$B$1:$J$1,0))=1,"Yes","-"),"?"))))</f>
        <v/>
      </c>
      <c r="H41" s="8">
        <f>IF($F41="(none - every role)","All",IF($F41="DEV","Dev build",IF($F41="GUEST","n/a - guest",IFERROR(IF(INDEX('Permission matrix'!$B$2:$J$56,MATCH($F41,'Permission matrix'!$A$2:$A$56,0),MATCH(H$1,'Permission matrix'!$B$1:$J$1,0))=1,"Yes","-"),"?"))))</f>
        <v/>
      </c>
      <c r="I41" s="8">
        <f>IF($F41="(none - every role)","All",IF($F41="DEV","Dev build",IF($F41="GUEST","n/a - guest",IFERROR(IF(INDEX('Permission matrix'!$B$2:$J$56,MATCH($F41,'Permission matrix'!$A$2:$A$56,0),MATCH(I$1,'Permission matrix'!$B$1:$J$1,0))=1,"Yes","-"),"?"))))</f>
        <v/>
      </c>
      <c r="J41" s="8">
        <f>IF($F41="(none - every role)","All",IF($F41="DEV","Dev build",IF($F41="GUEST","n/a - guest",IFERROR(IF(INDEX('Permission matrix'!$B$2:$J$56,MATCH($F41,'Permission matrix'!$A$2:$A$56,0),MATCH(J$1,'Permission matrix'!$B$1:$J$1,0))=1,"Yes","-"),"?"))))</f>
        <v/>
      </c>
      <c r="K41" s="8">
        <f>IF($F41="(none - every role)","All",IF($F41="DEV","Dev build",IF($F41="GUEST","n/a - guest",IFERROR(IF(INDEX('Permission matrix'!$B$2:$J$56,MATCH($F41,'Permission matrix'!$A$2:$A$56,0),MATCH(K$1,'Permission matrix'!$B$1:$J$1,0))=1,"Yes","-"),"?"))))</f>
        <v/>
      </c>
      <c r="L41" s="8">
        <f>IF($F41="(none - every role)","All",IF($F41="DEV","Dev build",IF($F41="GUEST","n/a - guest",IFERROR(IF(INDEX('Permission matrix'!$B$2:$J$56,MATCH($F41,'Permission matrix'!$A$2:$A$56,0),MATCH(L$1,'Permission matrix'!$B$1:$J$1,0))=1,"Yes","-"),"?"))))</f>
        <v/>
      </c>
      <c r="M41" s="8">
        <f>IF($F41="(none - every role)","All",IF($F41="DEV","Dev build",IF($F41="GUEST","n/a - guest",IFERROR(IF(INDEX('Permission matrix'!$B$2:$J$56,MATCH($F41,'Permission matrix'!$A$2:$A$56,0),MATCH(M$1,'Permission matrix'!$B$1:$J$1,0))=1,"Yes","-"),"?"))))</f>
        <v/>
      </c>
      <c r="N41" s="8">
        <f>IF($F41="(none - every role)","All",IF($F41="DEV","Dev build",IF($F41="GUEST","n/a - guest",IFERROR(IF(INDEX('Permission matrix'!$B$2:$J$56,MATCH($F41,'Permission matrix'!$A$2:$A$56,0),MATCH(N$1,'Permission matrix'!$B$1:$J$1,0))=1,"Yes","-"),"?"))))</f>
        <v/>
      </c>
      <c r="O41" s="8">
        <f>IF($F41="(none - every role)","All",IF($F41="DEV","Dev build",IF($F41="GUEST","n/a - guest",IFERROR(IF(INDEX('Permission matrix'!$B$2:$J$56,MATCH($F41,'Permission matrix'!$A$2:$A$56,0),MATCH(O$1,'Permission matrix'!$B$1:$J$1,0))=1,"Yes","-"),"?"))))</f>
        <v/>
      </c>
    </row>
    <row r="42">
      <c r="A42" s="5" t="inlineStr">
        <is>
          <t>Staff performance</t>
        </is>
      </c>
      <c r="B42" s="6" t="inlineStr">
        <is>
          <t>Team workload</t>
        </is>
      </c>
      <c r="C42" s="6" t="inlineStr">
        <is>
          <t>/workload</t>
        </is>
      </c>
      <c r="D42" s="6" t="inlineStr">
        <is>
          <t>Staff (web/PWA)</t>
        </is>
      </c>
      <c r="E42" s="7" t="inlineStr">
        <is>
          <t>Team figures and the fairness view. No bottom ranking exists in any endpoint.</t>
        </is>
      </c>
      <c r="F42" s="6" t="inlineStr">
        <is>
          <t>performance.view.team</t>
        </is>
      </c>
      <c r="G42" s="8">
        <f>IF($F42="(none - every role)","All",IF($F42="DEV","Dev build",IF($F42="GUEST","n/a - guest",IFERROR(IF(INDEX('Permission matrix'!$B$2:$J$56,MATCH($F42,'Permission matrix'!$A$2:$A$56,0),MATCH(G$1,'Permission matrix'!$B$1:$J$1,0))=1,"Yes","-"),"?"))))</f>
        <v/>
      </c>
      <c r="H42" s="8">
        <f>IF($F42="(none - every role)","All",IF($F42="DEV","Dev build",IF($F42="GUEST","n/a - guest",IFERROR(IF(INDEX('Permission matrix'!$B$2:$J$56,MATCH($F42,'Permission matrix'!$A$2:$A$56,0),MATCH(H$1,'Permission matrix'!$B$1:$J$1,0))=1,"Yes","-"),"?"))))</f>
        <v/>
      </c>
      <c r="I42" s="8">
        <f>IF($F42="(none - every role)","All",IF($F42="DEV","Dev build",IF($F42="GUEST","n/a - guest",IFERROR(IF(INDEX('Permission matrix'!$B$2:$J$56,MATCH($F42,'Permission matrix'!$A$2:$A$56,0),MATCH(I$1,'Permission matrix'!$B$1:$J$1,0))=1,"Yes","-"),"?"))))</f>
        <v/>
      </c>
      <c r="J42" s="8">
        <f>IF($F42="(none - every role)","All",IF($F42="DEV","Dev build",IF($F42="GUEST","n/a - guest",IFERROR(IF(INDEX('Permission matrix'!$B$2:$J$56,MATCH($F42,'Permission matrix'!$A$2:$A$56,0),MATCH(J$1,'Permission matrix'!$B$1:$J$1,0))=1,"Yes","-"),"?"))))</f>
        <v/>
      </c>
      <c r="K42" s="8">
        <f>IF($F42="(none - every role)","All",IF($F42="DEV","Dev build",IF($F42="GUEST","n/a - guest",IFERROR(IF(INDEX('Permission matrix'!$B$2:$J$56,MATCH($F42,'Permission matrix'!$A$2:$A$56,0),MATCH(K$1,'Permission matrix'!$B$1:$J$1,0))=1,"Yes","-"),"?"))))</f>
        <v/>
      </c>
      <c r="L42" s="8">
        <f>IF($F42="(none - every role)","All",IF($F42="DEV","Dev build",IF($F42="GUEST","n/a - guest",IFERROR(IF(INDEX('Permission matrix'!$B$2:$J$56,MATCH($F42,'Permission matrix'!$A$2:$A$56,0),MATCH(L$1,'Permission matrix'!$B$1:$J$1,0))=1,"Yes","-"),"?"))))</f>
        <v/>
      </c>
      <c r="M42" s="8">
        <f>IF($F42="(none - every role)","All",IF($F42="DEV","Dev build",IF($F42="GUEST","n/a - guest",IFERROR(IF(INDEX('Permission matrix'!$B$2:$J$56,MATCH($F42,'Permission matrix'!$A$2:$A$56,0),MATCH(M$1,'Permission matrix'!$B$1:$J$1,0))=1,"Yes","-"),"?"))))</f>
        <v/>
      </c>
      <c r="N42" s="8">
        <f>IF($F42="(none - every role)","All",IF($F42="DEV","Dev build",IF($F42="GUEST","n/a - guest",IFERROR(IF(INDEX('Permission matrix'!$B$2:$J$56,MATCH($F42,'Permission matrix'!$A$2:$A$56,0),MATCH(N$1,'Permission matrix'!$B$1:$J$1,0))=1,"Yes","-"),"?"))))</f>
        <v/>
      </c>
      <c r="O42" s="8">
        <f>IF($F42="(none - every role)","All",IF($F42="DEV","Dev build",IF($F42="GUEST","n/a - guest",IFERROR(IF(INDEX('Permission matrix'!$B$2:$J$56,MATCH($F42,'Permission matrix'!$A$2:$A$56,0),MATCH(O$1,'Permission matrix'!$B$1:$J$1,0))=1,"Yes","-"),"?"))))</f>
        <v/>
      </c>
    </row>
    <row r="43">
      <c r="A43" s="5" t="inlineStr">
        <is>
          <t>Communication &amp; tasks</t>
        </is>
      </c>
      <c r="B43" s="6" t="inlineStr">
        <is>
          <t>Inbox</t>
        </is>
      </c>
      <c r="C43" s="6" t="inlineStr">
        <is>
          <t>/messages</t>
        </is>
      </c>
      <c r="D43" s="6" t="inlineStr">
        <is>
          <t>Staff (web/PWA)</t>
        </is>
      </c>
      <c r="E43" s="7" t="inlineStr">
        <is>
          <t>Threads you are a participant in. Every role holds this, cleaner included.</t>
        </is>
      </c>
      <c r="F43" s="6" t="inlineStr">
        <is>
          <t>message.send</t>
        </is>
      </c>
      <c r="G43" s="8">
        <f>IF($F43="(none - every role)","All",IF($F43="DEV","Dev build",IF($F43="GUEST","n/a - guest",IFERROR(IF(INDEX('Permission matrix'!$B$2:$J$56,MATCH($F43,'Permission matrix'!$A$2:$A$56,0),MATCH(G$1,'Permission matrix'!$B$1:$J$1,0))=1,"Yes","-"),"?"))))</f>
        <v/>
      </c>
      <c r="H43" s="8">
        <f>IF($F43="(none - every role)","All",IF($F43="DEV","Dev build",IF($F43="GUEST","n/a - guest",IFERROR(IF(INDEX('Permission matrix'!$B$2:$J$56,MATCH($F43,'Permission matrix'!$A$2:$A$56,0),MATCH(H$1,'Permission matrix'!$B$1:$J$1,0))=1,"Yes","-"),"?"))))</f>
        <v/>
      </c>
      <c r="I43" s="8">
        <f>IF($F43="(none - every role)","All",IF($F43="DEV","Dev build",IF($F43="GUEST","n/a - guest",IFERROR(IF(INDEX('Permission matrix'!$B$2:$J$56,MATCH($F43,'Permission matrix'!$A$2:$A$56,0),MATCH(I$1,'Permission matrix'!$B$1:$J$1,0))=1,"Yes","-"),"?"))))</f>
        <v/>
      </c>
      <c r="J43" s="8">
        <f>IF($F43="(none - every role)","All",IF($F43="DEV","Dev build",IF($F43="GUEST","n/a - guest",IFERROR(IF(INDEX('Permission matrix'!$B$2:$J$56,MATCH($F43,'Permission matrix'!$A$2:$A$56,0),MATCH(J$1,'Permission matrix'!$B$1:$J$1,0))=1,"Yes","-"),"?"))))</f>
        <v/>
      </c>
      <c r="K43" s="8">
        <f>IF($F43="(none - every role)","All",IF($F43="DEV","Dev build",IF($F43="GUEST","n/a - guest",IFERROR(IF(INDEX('Permission matrix'!$B$2:$J$56,MATCH($F43,'Permission matrix'!$A$2:$A$56,0),MATCH(K$1,'Permission matrix'!$B$1:$J$1,0))=1,"Yes","-"),"?"))))</f>
        <v/>
      </c>
      <c r="L43" s="8">
        <f>IF($F43="(none - every role)","All",IF($F43="DEV","Dev build",IF($F43="GUEST","n/a - guest",IFERROR(IF(INDEX('Permission matrix'!$B$2:$J$56,MATCH($F43,'Permission matrix'!$A$2:$A$56,0),MATCH(L$1,'Permission matrix'!$B$1:$J$1,0))=1,"Yes","-"),"?"))))</f>
        <v/>
      </c>
      <c r="M43" s="8">
        <f>IF($F43="(none - every role)","All",IF($F43="DEV","Dev build",IF($F43="GUEST","n/a - guest",IFERROR(IF(INDEX('Permission matrix'!$B$2:$J$56,MATCH($F43,'Permission matrix'!$A$2:$A$56,0),MATCH(M$1,'Permission matrix'!$B$1:$J$1,0))=1,"Yes","-"),"?"))))</f>
        <v/>
      </c>
      <c r="N43" s="8">
        <f>IF($F43="(none - every role)","All",IF($F43="DEV","Dev build",IF($F43="GUEST","n/a - guest",IFERROR(IF(INDEX('Permission matrix'!$B$2:$J$56,MATCH($F43,'Permission matrix'!$A$2:$A$56,0),MATCH(N$1,'Permission matrix'!$B$1:$J$1,0))=1,"Yes","-"),"?"))))</f>
        <v/>
      </c>
      <c r="O43" s="8">
        <f>IF($F43="(none - every role)","All",IF($F43="DEV","Dev build",IF($F43="GUEST","n/a - guest",IFERROR(IF(INDEX('Permission matrix'!$B$2:$J$56,MATCH($F43,'Permission matrix'!$A$2:$A$56,0),MATCH(O$1,'Permission matrix'!$B$1:$J$1,0))=1,"Yes","-"),"?"))))</f>
        <v/>
      </c>
    </row>
    <row r="44">
      <c r="A44" s="5" t="inlineStr">
        <is>
          <t>Communication &amp; tasks</t>
        </is>
      </c>
      <c r="B44" s="6" t="inlineStr">
        <is>
          <t>Thread</t>
        </is>
      </c>
      <c r="C44" s="6" t="inlineStr">
        <is>
          <t>/messages/:conversationId</t>
        </is>
      </c>
      <c r="D44" s="6" t="inlineStr">
        <is>
          <t>Staff (web/PWA)</t>
        </is>
      </c>
      <c r="E44" s="7" t="inlineStr">
        <is>
          <t>One conversation, with photo and document attachments.</t>
        </is>
      </c>
      <c r="F44" s="6" t="inlineStr">
        <is>
          <t>message.send</t>
        </is>
      </c>
      <c r="G44" s="8">
        <f>IF($F44="(none - every role)","All",IF($F44="DEV","Dev build",IF($F44="GUEST","n/a - guest",IFERROR(IF(INDEX('Permission matrix'!$B$2:$J$56,MATCH($F44,'Permission matrix'!$A$2:$A$56,0),MATCH(G$1,'Permission matrix'!$B$1:$J$1,0))=1,"Yes","-"),"?"))))</f>
        <v/>
      </c>
      <c r="H44" s="8">
        <f>IF($F44="(none - every role)","All",IF($F44="DEV","Dev build",IF($F44="GUEST","n/a - guest",IFERROR(IF(INDEX('Permission matrix'!$B$2:$J$56,MATCH($F44,'Permission matrix'!$A$2:$A$56,0),MATCH(H$1,'Permission matrix'!$B$1:$J$1,0))=1,"Yes","-"),"?"))))</f>
        <v/>
      </c>
      <c r="I44" s="8">
        <f>IF($F44="(none - every role)","All",IF($F44="DEV","Dev build",IF($F44="GUEST","n/a - guest",IFERROR(IF(INDEX('Permission matrix'!$B$2:$J$56,MATCH($F44,'Permission matrix'!$A$2:$A$56,0),MATCH(I$1,'Permission matrix'!$B$1:$J$1,0))=1,"Yes","-"),"?"))))</f>
        <v/>
      </c>
      <c r="J44" s="8">
        <f>IF($F44="(none - every role)","All",IF($F44="DEV","Dev build",IF($F44="GUEST","n/a - guest",IFERROR(IF(INDEX('Permission matrix'!$B$2:$J$56,MATCH($F44,'Permission matrix'!$A$2:$A$56,0),MATCH(J$1,'Permission matrix'!$B$1:$J$1,0))=1,"Yes","-"),"?"))))</f>
        <v/>
      </c>
      <c r="K44" s="8">
        <f>IF($F44="(none - every role)","All",IF($F44="DEV","Dev build",IF($F44="GUEST","n/a - guest",IFERROR(IF(INDEX('Permission matrix'!$B$2:$J$56,MATCH($F44,'Permission matrix'!$A$2:$A$56,0),MATCH(K$1,'Permission matrix'!$B$1:$J$1,0))=1,"Yes","-"),"?"))))</f>
        <v/>
      </c>
      <c r="L44" s="8">
        <f>IF($F44="(none - every role)","All",IF($F44="DEV","Dev build",IF($F44="GUEST","n/a - guest",IFERROR(IF(INDEX('Permission matrix'!$B$2:$J$56,MATCH($F44,'Permission matrix'!$A$2:$A$56,0),MATCH(L$1,'Permission matrix'!$B$1:$J$1,0))=1,"Yes","-"),"?"))))</f>
        <v/>
      </c>
      <c r="M44" s="8">
        <f>IF($F44="(none - every role)","All",IF($F44="DEV","Dev build",IF($F44="GUEST","n/a - guest",IFERROR(IF(INDEX('Permission matrix'!$B$2:$J$56,MATCH($F44,'Permission matrix'!$A$2:$A$56,0),MATCH(M$1,'Permission matrix'!$B$1:$J$1,0))=1,"Yes","-"),"?"))))</f>
        <v/>
      </c>
      <c r="N44" s="8">
        <f>IF($F44="(none - every role)","All",IF($F44="DEV","Dev build",IF($F44="GUEST","n/a - guest",IFERROR(IF(INDEX('Permission matrix'!$B$2:$J$56,MATCH($F44,'Permission matrix'!$A$2:$A$56,0),MATCH(N$1,'Permission matrix'!$B$1:$J$1,0))=1,"Yes","-"),"?"))))</f>
        <v/>
      </c>
      <c r="O44" s="8">
        <f>IF($F44="(none - every role)","All",IF($F44="DEV","Dev build",IF($F44="GUEST","n/a - guest",IFERROR(IF(INDEX('Permission matrix'!$B$2:$J$56,MATCH($F44,'Permission matrix'!$A$2:$A$56,0),MATCH(O$1,'Permission matrix'!$B$1:$J$1,0))=1,"Yes","-"),"?"))))</f>
        <v/>
      </c>
    </row>
    <row r="45">
      <c r="A45" s="5" t="inlineStr">
        <is>
          <t>Communication &amp; tasks</t>
        </is>
      </c>
      <c r="B45" s="6" t="inlineStr">
        <is>
          <t>Tasks</t>
        </is>
      </c>
      <c r="C45" s="6" t="inlineStr">
        <is>
          <t>/tasks</t>
        </is>
      </c>
      <c r="D45" s="6" t="inlineStr">
        <is>
          <t>Staff (web/PWA)</t>
        </is>
      </c>
      <c r="E45" s="7" t="inlineStr">
        <is>
          <t>Your work and work you wrote down. The whole board needs task.assign.</t>
        </is>
      </c>
      <c r="F45" s="6" t="inlineStr">
        <is>
          <t>task.view</t>
        </is>
      </c>
      <c r="G45" s="8">
        <f>IF($F45="(none - every role)","All",IF($F45="DEV","Dev build",IF($F45="GUEST","n/a - guest",IFERROR(IF(INDEX('Permission matrix'!$B$2:$J$56,MATCH($F45,'Permission matrix'!$A$2:$A$56,0),MATCH(G$1,'Permission matrix'!$B$1:$J$1,0))=1,"Yes","-"),"?"))))</f>
        <v/>
      </c>
      <c r="H45" s="8">
        <f>IF($F45="(none - every role)","All",IF($F45="DEV","Dev build",IF($F45="GUEST","n/a - guest",IFERROR(IF(INDEX('Permission matrix'!$B$2:$J$56,MATCH($F45,'Permission matrix'!$A$2:$A$56,0),MATCH(H$1,'Permission matrix'!$B$1:$J$1,0))=1,"Yes","-"),"?"))))</f>
        <v/>
      </c>
      <c r="I45" s="8">
        <f>IF($F45="(none - every role)","All",IF($F45="DEV","Dev build",IF($F45="GUEST","n/a - guest",IFERROR(IF(INDEX('Permission matrix'!$B$2:$J$56,MATCH($F45,'Permission matrix'!$A$2:$A$56,0),MATCH(I$1,'Permission matrix'!$B$1:$J$1,0))=1,"Yes","-"),"?"))))</f>
        <v/>
      </c>
      <c r="J45" s="8">
        <f>IF($F45="(none - every role)","All",IF($F45="DEV","Dev build",IF($F45="GUEST","n/a - guest",IFERROR(IF(INDEX('Permission matrix'!$B$2:$J$56,MATCH($F45,'Permission matrix'!$A$2:$A$56,0),MATCH(J$1,'Permission matrix'!$B$1:$J$1,0))=1,"Yes","-"),"?"))))</f>
        <v/>
      </c>
      <c r="K45" s="8">
        <f>IF($F45="(none - every role)","All",IF($F45="DEV","Dev build",IF($F45="GUEST","n/a - guest",IFERROR(IF(INDEX('Permission matrix'!$B$2:$J$56,MATCH($F45,'Permission matrix'!$A$2:$A$56,0),MATCH(K$1,'Permission matrix'!$B$1:$J$1,0))=1,"Yes","-"),"?"))))</f>
        <v/>
      </c>
      <c r="L45" s="8">
        <f>IF($F45="(none - every role)","All",IF($F45="DEV","Dev build",IF($F45="GUEST","n/a - guest",IFERROR(IF(INDEX('Permission matrix'!$B$2:$J$56,MATCH($F45,'Permission matrix'!$A$2:$A$56,0),MATCH(L$1,'Permission matrix'!$B$1:$J$1,0))=1,"Yes","-"),"?"))))</f>
        <v/>
      </c>
      <c r="M45" s="8">
        <f>IF($F45="(none - every role)","All",IF($F45="DEV","Dev build",IF($F45="GUEST","n/a - guest",IFERROR(IF(INDEX('Permission matrix'!$B$2:$J$56,MATCH($F45,'Permission matrix'!$A$2:$A$56,0),MATCH(M$1,'Permission matrix'!$B$1:$J$1,0))=1,"Yes","-"),"?"))))</f>
        <v/>
      </c>
      <c r="N45" s="8">
        <f>IF($F45="(none - every role)","All",IF($F45="DEV","Dev build",IF($F45="GUEST","n/a - guest",IFERROR(IF(INDEX('Permission matrix'!$B$2:$J$56,MATCH($F45,'Permission matrix'!$A$2:$A$56,0),MATCH(N$1,'Permission matrix'!$B$1:$J$1,0))=1,"Yes","-"),"?"))))</f>
        <v/>
      </c>
      <c r="O45" s="8">
        <f>IF($F45="(none - every role)","All",IF($F45="DEV","Dev build",IF($F45="GUEST","n/a - guest",IFERROR(IF(INDEX('Permission matrix'!$B$2:$J$56,MATCH($F45,'Permission matrix'!$A$2:$A$56,0),MATCH(O$1,'Permission matrix'!$B$1:$J$1,0))=1,"Yes","-"),"?"))))</f>
        <v/>
      </c>
    </row>
    <row r="46">
      <c r="A46" s="5" t="inlineStr">
        <is>
          <t>Communication &amp; tasks</t>
        </is>
      </c>
      <c r="B46" s="6" t="inlineStr">
        <is>
          <t>Task detail</t>
        </is>
      </c>
      <c r="C46" s="6" t="inlineStr">
        <is>
          <t>/tasks/:taskId</t>
        </is>
      </c>
      <c r="D46" s="6" t="inlineStr">
        <is>
          <t>Staff (web/PWA)</t>
        </is>
      </c>
      <c r="E46" s="7" t="inlineStr">
        <is>
          <t>One task through its lifecycle: accept, start, finish, verify.</t>
        </is>
      </c>
      <c r="F46" s="6" t="inlineStr">
        <is>
          <t>task.view</t>
        </is>
      </c>
      <c r="G46" s="8">
        <f>IF($F46="(none - every role)","All",IF($F46="DEV","Dev build",IF($F46="GUEST","n/a - guest",IFERROR(IF(INDEX('Permission matrix'!$B$2:$J$56,MATCH($F46,'Permission matrix'!$A$2:$A$56,0),MATCH(G$1,'Permission matrix'!$B$1:$J$1,0))=1,"Yes","-"),"?"))))</f>
        <v/>
      </c>
      <c r="H46" s="8">
        <f>IF($F46="(none - every role)","All",IF($F46="DEV","Dev build",IF($F46="GUEST","n/a - guest",IFERROR(IF(INDEX('Permission matrix'!$B$2:$J$56,MATCH($F46,'Permission matrix'!$A$2:$A$56,0),MATCH(H$1,'Permission matrix'!$B$1:$J$1,0))=1,"Yes","-"),"?"))))</f>
        <v/>
      </c>
      <c r="I46" s="8">
        <f>IF($F46="(none - every role)","All",IF($F46="DEV","Dev build",IF($F46="GUEST","n/a - guest",IFERROR(IF(INDEX('Permission matrix'!$B$2:$J$56,MATCH($F46,'Permission matrix'!$A$2:$A$56,0),MATCH(I$1,'Permission matrix'!$B$1:$J$1,0))=1,"Yes","-"),"?"))))</f>
        <v/>
      </c>
      <c r="J46" s="8">
        <f>IF($F46="(none - every role)","All",IF($F46="DEV","Dev build",IF($F46="GUEST","n/a - guest",IFERROR(IF(INDEX('Permission matrix'!$B$2:$J$56,MATCH($F46,'Permission matrix'!$A$2:$A$56,0),MATCH(J$1,'Permission matrix'!$B$1:$J$1,0))=1,"Yes","-"),"?"))))</f>
        <v/>
      </c>
      <c r="K46" s="8">
        <f>IF($F46="(none - every role)","All",IF($F46="DEV","Dev build",IF($F46="GUEST","n/a - guest",IFERROR(IF(INDEX('Permission matrix'!$B$2:$J$56,MATCH($F46,'Permission matrix'!$A$2:$A$56,0),MATCH(K$1,'Permission matrix'!$B$1:$J$1,0))=1,"Yes","-"),"?"))))</f>
        <v/>
      </c>
      <c r="L46" s="8">
        <f>IF($F46="(none - every role)","All",IF($F46="DEV","Dev build",IF($F46="GUEST","n/a - guest",IFERROR(IF(INDEX('Permission matrix'!$B$2:$J$56,MATCH($F46,'Permission matrix'!$A$2:$A$56,0),MATCH(L$1,'Permission matrix'!$B$1:$J$1,0))=1,"Yes","-"),"?"))))</f>
        <v/>
      </c>
      <c r="M46" s="8">
        <f>IF($F46="(none - every role)","All",IF($F46="DEV","Dev build",IF($F46="GUEST","n/a - guest",IFERROR(IF(INDEX('Permission matrix'!$B$2:$J$56,MATCH($F46,'Permission matrix'!$A$2:$A$56,0),MATCH(M$1,'Permission matrix'!$B$1:$J$1,0))=1,"Yes","-"),"?"))))</f>
        <v/>
      </c>
      <c r="N46" s="8">
        <f>IF($F46="(none - every role)","All",IF($F46="DEV","Dev build",IF($F46="GUEST","n/a - guest",IFERROR(IF(INDEX('Permission matrix'!$B$2:$J$56,MATCH($F46,'Permission matrix'!$A$2:$A$56,0),MATCH(N$1,'Permission matrix'!$B$1:$J$1,0))=1,"Yes","-"),"?"))))</f>
        <v/>
      </c>
      <c r="O46" s="8">
        <f>IF($F46="(none - every role)","All",IF($F46="DEV","Dev build",IF($F46="GUEST","n/a - guest",IFERROR(IF(INDEX('Permission matrix'!$B$2:$J$56,MATCH($F46,'Permission matrix'!$A$2:$A$56,0),MATCH(O$1,'Permission matrix'!$B$1:$J$1,0))=1,"Yes","-"),"?"))))</f>
        <v/>
      </c>
    </row>
    <row r="47">
      <c r="A47" s="5" t="inlineStr">
        <is>
          <t>Analytics &amp; reporting</t>
        </is>
      </c>
      <c r="B47" s="6" t="inlineStr">
        <is>
          <t>Today</t>
        </is>
      </c>
      <c r="C47" s="6" t="inlineStr">
        <is>
          <t>/reports</t>
        </is>
      </c>
      <c r="D47" s="6" t="inlineStr">
        <is>
          <t>Staff (web/PWA)</t>
        </is>
      </c>
      <c r="E47" s="7" t="inlineStr">
        <is>
          <t>The operational day: covers, throughput, kitchen timing.</t>
        </is>
      </c>
      <c r="F47" s="6" t="inlineStr">
        <is>
          <t>report.operational.view</t>
        </is>
      </c>
      <c r="G47" s="8">
        <f>IF($F47="(none - every role)","All",IF($F47="DEV","Dev build",IF($F47="GUEST","n/a - guest",IFERROR(IF(INDEX('Permission matrix'!$B$2:$J$56,MATCH($F47,'Permission matrix'!$A$2:$A$56,0),MATCH(G$1,'Permission matrix'!$B$1:$J$1,0))=1,"Yes","-"),"?"))))</f>
        <v/>
      </c>
      <c r="H47" s="8">
        <f>IF($F47="(none - every role)","All",IF($F47="DEV","Dev build",IF($F47="GUEST","n/a - guest",IFERROR(IF(INDEX('Permission matrix'!$B$2:$J$56,MATCH($F47,'Permission matrix'!$A$2:$A$56,0),MATCH(H$1,'Permission matrix'!$B$1:$J$1,0))=1,"Yes","-"),"?"))))</f>
        <v/>
      </c>
      <c r="I47" s="8">
        <f>IF($F47="(none - every role)","All",IF($F47="DEV","Dev build",IF($F47="GUEST","n/a - guest",IFERROR(IF(INDEX('Permission matrix'!$B$2:$J$56,MATCH($F47,'Permission matrix'!$A$2:$A$56,0),MATCH(I$1,'Permission matrix'!$B$1:$J$1,0))=1,"Yes","-"),"?"))))</f>
        <v/>
      </c>
      <c r="J47" s="8">
        <f>IF($F47="(none - every role)","All",IF($F47="DEV","Dev build",IF($F47="GUEST","n/a - guest",IFERROR(IF(INDEX('Permission matrix'!$B$2:$J$56,MATCH($F47,'Permission matrix'!$A$2:$A$56,0),MATCH(J$1,'Permission matrix'!$B$1:$J$1,0))=1,"Yes","-"),"?"))))</f>
        <v/>
      </c>
      <c r="K47" s="8">
        <f>IF($F47="(none - every role)","All",IF($F47="DEV","Dev build",IF($F47="GUEST","n/a - guest",IFERROR(IF(INDEX('Permission matrix'!$B$2:$J$56,MATCH($F47,'Permission matrix'!$A$2:$A$56,0),MATCH(K$1,'Permission matrix'!$B$1:$J$1,0))=1,"Yes","-"),"?"))))</f>
        <v/>
      </c>
      <c r="L47" s="8">
        <f>IF($F47="(none - every role)","All",IF($F47="DEV","Dev build",IF($F47="GUEST","n/a - guest",IFERROR(IF(INDEX('Permission matrix'!$B$2:$J$56,MATCH($F47,'Permission matrix'!$A$2:$A$56,0),MATCH(L$1,'Permission matrix'!$B$1:$J$1,0))=1,"Yes","-"),"?"))))</f>
        <v/>
      </c>
      <c r="M47" s="8">
        <f>IF($F47="(none - every role)","All",IF($F47="DEV","Dev build",IF($F47="GUEST","n/a - guest",IFERROR(IF(INDEX('Permission matrix'!$B$2:$J$56,MATCH($F47,'Permission matrix'!$A$2:$A$56,0),MATCH(M$1,'Permission matrix'!$B$1:$J$1,0))=1,"Yes","-"),"?"))))</f>
        <v/>
      </c>
      <c r="N47" s="8">
        <f>IF($F47="(none - every role)","All",IF($F47="DEV","Dev build",IF($F47="GUEST","n/a - guest",IFERROR(IF(INDEX('Permission matrix'!$B$2:$J$56,MATCH($F47,'Permission matrix'!$A$2:$A$56,0),MATCH(N$1,'Permission matrix'!$B$1:$J$1,0))=1,"Yes","-"),"?"))))</f>
        <v/>
      </c>
      <c r="O47" s="8">
        <f>IF($F47="(none - every role)","All",IF($F47="DEV","Dev build",IF($F47="GUEST","n/a - guest",IFERROR(IF(INDEX('Permission matrix'!$B$2:$J$56,MATCH($F47,'Permission matrix'!$A$2:$A$56,0),MATCH(O$1,'Permission matrix'!$B$1:$J$1,0))=1,"Yes","-"),"?"))))</f>
        <v/>
      </c>
    </row>
    <row r="48">
      <c r="A48" s="5" t="inlineStr">
        <is>
          <t>Analytics &amp; reporting</t>
        </is>
      </c>
      <c r="B48" s="6" t="inlineStr">
        <is>
          <t>Dish performance</t>
        </is>
      </c>
      <c r="C48" s="6" t="inlineStr">
        <is>
          <t>/reports/dishes</t>
        </is>
      </c>
      <c r="D48" s="6" t="inlineStr">
        <is>
          <t>Staff (web/PWA)</t>
        </is>
      </c>
      <c r="E48" s="7" t="inlineStr">
        <is>
          <t>What each dish sold and earned, and where it sits on the menu.</t>
        </is>
      </c>
      <c r="F48" s="6" t="inlineStr">
        <is>
          <t>report.operational.view</t>
        </is>
      </c>
      <c r="G48" s="8">
        <f>IF($F48="(none - every role)","All",IF($F48="DEV","Dev build",IF($F48="GUEST","n/a - guest",IFERROR(IF(INDEX('Permission matrix'!$B$2:$J$56,MATCH($F48,'Permission matrix'!$A$2:$A$56,0),MATCH(G$1,'Permission matrix'!$B$1:$J$1,0))=1,"Yes","-"),"?"))))</f>
        <v/>
      </c>
      <c r="H48" s="8">
        <f>IF($F48="(none - every role)","All",IF($F48="DEV","Dev build",IF($F48="GUEST","n/a - guest",IFERROR(IF(INDEX('Permission matrix'!$B$2:$J$56,MATCH($F48,'Permission matrix'!$A$2:$A$56,0),MATCH(H$1,'Permission matrix'!$B$1:$J$1,0))=1,"Yes","-"),"?"))))</f>
        <v/>
      </c>
      <c r="I48" s="8">
        <f>IF($F48="(none - every role)","All",IF($F48="DEV","Dev build",IF($F48="GUEST","n/a - guest",IFERROR(IF(INDEX('Permission matrix'!$B$2:$J$56,MATCH($F48,'Permission matrix'!$A$2:$A$56,0),MATCH(I$1,'Permission matrix'!$B$1:$J$1,0))=1,"Yes","-"),"?"))))</f>
        <v/>
      </c>
      <c r="J48" s="8">
        <f>IF($F48="(none - every role)","All",IF($F48="DEV","Dev build",IF($F48="GUEST","n/a - guest",IFERROR(IF(INDEX('Permission matrix'!$B$2:$J$56,MATCH($F48,'Permission matrix'!$A$2:$A$56,0),MATCH(J$1,'Permission matrix'!$B$1:$J$1,0))=1,"Yes","-"),"?"))))</f>
        <v/>
      </c>
      <c r="K48" s="8">
        <f>IF($F48="(none - every role)","All",IF($F48="DEV","Dev build",IF($F48="GUEST","n/a - guest",IFERROR(IF(INDEX('Permission matrix'!$B$2:$J$56,MATCH($F48,'Permission matrix'!$A$2:$A$56,0),MATCH(K$1,'Permission matrix'!$B$1:$J$1,0))=1,"Yes","-"),"?"))))</f>
        <v/>
      </c>
      <c r="L48" s="8">
        <f>IF($F48="(none - every role)","All",IF($F48="DEV","Dev build",IF($F48="GUEST","n/a - guest",IFERROR(IF(INDEX('Permission matrix'!$B$2:$J$56,MATCH($F48,'Permission matrix'!$A$2:$A$56,0),MATCH(L$1,'Permission matrix'!$B$1:$J$1,0))=1,"Yes","-"),"?"))))</f>
        <v/>
      </c>
      <c r="M48" s="8">
        <f>IF($F48="(none - every role)","All",IF($F48="DEV","Dev build",IF($F48="GUEST","n/a - guest",IFERROR(IF(INDEX('Permission matrix'!$B$2:$J$56,MATCH($F48,'Permission matrix'!$A$2:$A$56,0),MATCH(M$1,'Permission matrix'!$B$1:$J$1,0))=1,"Yes","-"),"?"))))</f>
        <v/>
      </c>
      <c r="N48" s="8">
        <f>IF($F48="(none - every role)","All",IF($F48="DEV","Dev build",IF($F48="GUEST","n/a - guest",IFERROR(IF(INDEX('Permission matrix'!$B$2:$J$56,MATCH($F48,'Permission matrix'!$A$2:$A$56,0),MATCH(N$1,'Permission matrix'!$B$1:$J$1,0))=1,"Yes","-"),"?"))))</f>
        <v/>
      </c>
      <c r="O48" s="8">
        <f>IF($F48="(none - every role)","All",IF($F48="DEV","Dev build",IF($F48="GUEST","n/a - guest",IFERROR(IF(INDEX('Permission matrix'!$B$2:$J$56,MATCH($F48,'Permission matrix'!$A$2:$A$56,0),MATCH(O$1,'Permission matrix'!$B$1:$J$1,0))=1,"Yes","-"),"?"))))</f>
        <v/>
      </c>
    </row>
    <row r="49">
      <c r="A49" s="5" t="inlineStr">
        <is>
          <t>Analytics &amp; reporting</t>
        </is>
      </c>
      <c r="B49" s="6" t="inlineStr">
        <is>
          <t>Waste report</t>
        </is>
      </c>
      <c r="C49" s="6" t="inlineStr">
        <is>
          <t>/reports/waste</t>
        </is>
      </c>
      <c r="D49" s="6" t="inlineStr">
        <is>
          <t>Staff (web/PWA)</t>
        </is>
      </c>
      <c r="E49" s="7" t="inlineStr">
        <is>
          <t>Waste by reason, item and period.</t>
        </is>
      </c>
      <c r="F49" s="6" t="inlineStr">
        <is>
          <t>report.operational.view</t>
        </is>
      </c>
      <c r="G49" s="8">
        <f>IF($F49="(none - every role)","All",IF($F49="DEV","Dev build",IF($F49="GUEST","n/a - guest",IFERROR(IF(INDEX('Permission matrix'!$B$2:$J$56,MATCH($F49,'Permission matrix'!$A$2:$A$56,0),MATCH(G$1,'Permission matrix'!$B$1:$J$1,0))=1,"Yes","-"),"?"))))</f>
        <v/>
      </c>
      <c r="H49" s="8">
        <f>IF($F49="(none - every role)","All",IF($F49="DEV","Dev build",IF($F49="GUEST","n/a - guest",IFERROR(IF(INDEX('Permission matrix'!$B$2:$J$56,MATCH($F49,'Permission matrix'!$A$2:$A$56,0),MATCH(H$1,'Permission matrix'!$B$1:$J$1,0))=1,"Yes","-"),"?"))))</f>
        <v/>
      </c>
      <c r="I49" s="8">
        <f>IF($F49="(none - every role)","All",IF($F49="DEV","Dev build",IF($F49="GUEST","n/a - guest",IFERROR(IF(INDEX('Permission matrix'!$B$2:$J$56,MATCH($F49,'Permission matrix'!$A$2:$A$56,0),MATCH(I$1,'Permission matrix'!$B$1:$J$1,0))=1,"Yes","-"),"?"))))</f>
        <v/>
      </c>
      <c r="J49" s="8">
        <f>IF($F49="(none - every role)","All",IF($F49="DEV","Dev build",IF($F49="GUEST","n/a - guest",IFERROR(IF(INDEX('Permission matrix'!$B$2:$J$56,MATCH($F49,'Permission matrix'!$A$2:$A$56,0),MATCH(J$1,'Permission matrix'!$B$1:$J$1,0))=1,"Yes","-"),"?"))))</f>
        <v/>
      </c>
      <c r="K49" s="8">
        <f>IF($F49="(none - every role)","All",IF($F49="DEV","Dev build",IF($F49="GUEST","n/a - guest",IFERROR(IF(INDEX('Permission matrix'!$B$2:$J$56,MATCH($F49,'Permission matrix'!$A$2:$A$56,0),MATCH(K$1,'Permission matrix'!$B$1:$J$1,0))=1,"Yes","-"),"?"))))</f>
        <v/>
      </c>
      <c r="L49" s="8">
        <f>IF($F49="(none - every role)","All",IF($F49="DEV","Dev build",IF($F49="GUEST","n/a - guest",IFERROR(IF(INDEX('Permission matrix'!$B$2:$J$56,MATCH($F49,'Permission matrix'!$A$2:$A$56,0),MATCH(L$1,'Permission matrix'!$B$1:$J$1,0))=1,"Yes","-"),"?"))))</f>
        <v/>
      </c>
      <c r="M49" s="8">
        <f>IF($F49="(none - every role)","All",IF($F49="DEV","Dev build",IF($F49="GUEST","n/a - guest",IFERROR(IF(INDEX('Permission matrix'!$B$2:$J$56,MATCH($F49,'Permission matrix'!$A$2:$A$56,0),MATCH(M$1,'Permission matrix'!$B$1:$J$1,0))=1,"Yes","-"),"?"))))</f>
        <v/>
      </c>
      <c r="N49" s="8">
        <f>IF($F49="(none - every role)","All",IF($F49="DEV","Dev build",IF($F49="GUEST","n/a - guest",IFERROR(IF(INDEX('Permission matrix'!$B$2:$J$56,MATCH($F49,'Permission matrix'!$A$2:$A$56,0),MATCH(N$1,'Permission matrix'!$B$1:$J$1,0))=1,"Yes","-"),"?"))))</f>
        <v/>
      </c>
      <c r="O49" s="8">
        <f>IF($F49="(none - every role)","All",IF($F49="DEV","Dev build",IF($F49="GUEST","n/a - guest",IFERROR(IF(INDEX('Permission matrix'!$B$2:$J$56,MATCH($F49,'Permission matrix'!$A$2:$A$56,0),MATCH(O$1,'Permission matrix'!$B$1:$J$1,0))=1,"Yes","-"),"?"))))</f>
        <v/>
      </c>
    </row>
    <row r="50">
      <c r="A50" s="5" t="inlineStr">
        <is>
          <t>Analytics &amp; reporting</t>
        </is>
      </c>
      <c r="B50" s="6" t="inlineStr">
        <is>
          <t>Sales report</t>
        </is>
      </c>
      <c r="C50" s="6" t="inlineStr">
        <is>
          <t>/reports/sales</t>
        </is>
      </c>
      <c r="D50" s="6" t="inlineStr">
        <is>
          <t>Staff (web/PWA)</t>
        </is>
      </c>
      <c r="E50" s="7" t="inlineStr">
        <is>
          <t>Revenue, covers, average bill, payment split. A manager is not given this.</t>
        </is>
      </c>
      <c r="F50" s="6" t="inlineStr">
        <is>
          <t>report.financial.view</t>
        </is>
      </c>
      <c r="G50" s="8">
        <f>IF($F50="(none - every role)","All",IF($F50="DEV","Dev build",IF($F50="GUEST","n/a - guest",IFERROR(IF(INDEX('Permission matrix'!$B$2:$J$56,MATCH($F50,'Permission matrix'!$A$2:$A$56,0),MATCH(G$1,'Permission matrix'!$B$1:$J$1,0))=1,"Yes","-"),"?"))))</f>
        <v/>
      </c>
      <c r="H50" s="8">
        <f>IF($F50="(none - every role)","All",IF($F50="DEV","Dev build",IF($F50="GUEST","n/a - guest",IFERROR(IF(INDEX('Permission matrix'!$B$2:$J$56,MATCH($F50,'Permission matrix'!$A$2:$A$56,0),MATCH(H$1,'Permission matrix'!$B$1:$J$1,0))=1,"Yes","-"),"?"))))</f>
        <v/>
      </c>
      <c r="I50" s="8">
        <f>IF($F50="(none - every role)","All",IF($F50="DEV","Dev build",IF($F50="GUEST","n/a - guest",IFERROR(IF(INDEX('Permission matrix'!$B$2:$J$56,MATCH($F50,'Permission matrix'!$A$2:$A$56,0),MATCH(I$1,'Permission matrix'!$B$1:$J$1,0))=1,"Yes","-"),"?"))))</f>
        <v/>
      </c>
      <c r="J50" s="8">
        <f>IF($F50="(none - every role)","All",IF($F50="DEV","Dev build",IF($F50="GUEST","n/a - guest",IFERROR(IF(INDEX('Permission matrix'!$B$2:$J$56,MATCH($F50,'Permission matrix'!$A$2:$A$56,0),MATCH(J$1,'Permission matrix'!$B$1:$J$1,0))=1,"Yes","-"),"?"))))</f>
        <v/>
      </c>
      <c r="K50" s="8">
        <f>IF($F50="(none - every role)","All",IF($F50="DEV","Dev build",IF($F50="GUEST","n/a - guest",IFERROR(IF(INDEX('Permission matrix'!$B$2:$J$56,MATCH($F50,'Permission matrix'!$A$2:$A$56,0),MATCH(K$1,'Permission matrix'!$B$1:$J$1,0))=1,"Yes","-"),"?"))))</f>
        <v/>
      </c>
      <c r="L50" s="8">
        <f>IF($F50="(none - every role)","All",IF($F50="DEV","Dev build",IF($F50="GUEST","n/a - guest",IFERROR(IF(INDEX('Permission matrix'!$B$2:$J$56,MATCH($F50,'Permission matrix'!$A$2:$A$56,0),MATCH(L$1,'Permission matrix'!$B$1:$J$1,0))=1,"Yes","-"),"?"))))</f>
        <v/>
      </c>
      <c r="M50" s="8">
        <f>IF($F50="(none - every role)","All",IF($F50="DEV","Dev build",IF($F50="GUEST","n/a - guest",IFERROR(IF(INDEX('Permission matrix'!$B$2:$J$56,MATCH($F50,'Permission matrix'!$A$2:$A$56,0),MATCH(M$1,'Permission matrix'!$B$1:$J$1,0))=1,"Yes","-"),"?"))))</f>
        <v/>
      </c>
      <c r="N50" s="8">
        <f>IF($F50="(none - every role)","All",IF($F50="DEV","Dev build",IF($F50="GUEST","n/a - guest",IFERROR(IF(INDEX('Permission matrix'!$B$2:$J$56,MATCH($F50,'Permission matrix'!$A$2:$A$56,0),MATCH(N$1,'Permission matrix'!$B$1:$J$1,0))=1,"Yes","-"),"?"))))</f>
        <v/>
      </c>
      <c r="O50" s="8">
        <f>IF($F50="(none - every role)","All",IF($F50="DEV","Dev build",IF($F50="GUEST","n/a - guest",IFERROR(IF(INDEX('Permission matrix'!$B$2:$J$56,MATCH($F50,'Permission matrix'!$A$2:$A$56,0),MATCH(O$1,'Permission matrix'!$B$1:$J$1,0))=1,"Yes","-"),"?"))))</f>
        <v/>
      </c>
    </row>
    <row r="51">
      <c r="A51" s="5" t="inlineStr">
        <is>
          <t>Analytics &amp; reporting</t>
        </is>
      </c>
      <c r="B51" s="6" t="inlineStr">
        <is>
          <t>Variance report</t>
        </is>
      </c>
      <c r="C51" s="6" t="inlineStr">
        <is>
          <t>/reports/variance</t>
        </is>
      </c>
      <c r="D51" s="6" t="inlineStr">
        <is>
          <t>Staff (web/PWA)</t>
        </is>
      </c>
      <c r="E51" s="7" t="inlineStr">
        <is>
          <t>Theoretical against actual consumption. The core product insight.</t>
        </is>
      </c>
      <c r="F51" s="6" t="inlineStr">
        <is>
          <t>report.financial.view</t>
        </is>
      </c>
      <c r="G51" s="8">
        <f>IF($F51="(none - every role)","All",IF($F51="DEV","Dev build",IF($F51="GUEST","n/a - guest",IFERROR(IF(INDEX('Permission matrix'!$B$2:$J$56,MATCH($F51,'Permission matrix'!$A$2:$A$56,0),MATCH(G$1,'Permission matrix'!$B$1:$J$1,0))=1,"Yes","-"),"?"))))</f>
        <v/>
      </c>
      <c r="H51" s="8">
        <f>IF($F51="(none - every role)","All",IF($F51="DEV","Dev build",IF($F51="GUEST","n/a - guest",IFERROR(IF(INDEX('Permission matrix'!$B$2:$J$56,MATCH($F51,'Permission matrix'!$A$2:$A$56,0),MATCH(H$1,'Permission matrix'!$B$1:$J$1,0))=1,"Yes","-"),"?"))))</f>
        <v/>
      </c>
      <c r="I51" s="8">
        <f>IF($F51="(none - every role)","All",IF($F51="DEV","Dev build",IF($F51="GUEST","n/a - guest",IFERROR(IF(INDEX('Permission matrix'!$B$2:$J$56,MATCH($F51,'Permission matrix'!$A$2:$A$56,0),MATCH(I$1,'Permission matrix'!$B$1:$J$1,0))=1,"Yes","-"),"?"))))</f>
        <v/>
      </c>
      <c r="J51" s="8">
        <f>IF($F51="(none - every role)","All",IF($F51="DEV","Dev build",IF($F51="GUEST","n/a - guest",IFERROR(IF(INDEX('Permission matrix'!$B$2:$J$56,MATCH($F51,'Permission matrix'!$A$2:$A$56,0),MATCH(J$1,'Permission matrix'!$B$1:$J$1,0))=1,"Yes","-"),"?"))))</f>
        <v/>
      </c>
      <c r="K51" s="8">
        <f>IF($F51="(none - every role)","All",IF($F51="DEV","Dev build",IF($F51="GUEST","n/a - guest",IFERROR(IF(INDEX('Permission matrix'!$B$2:$J$56,MATCH($F51,'Permission matrix'!$A$2:$A$56,0),MATCH(K$1,'Permission matrix'!$B$1:$J$1,0))=1,"Yes","-"),"?"))))</f>
        <v/>
      </c>
      <c r="L51" s="8">
        <f>IF($F51="(none - every role)","All",IF($F51="DEV","Dev build",IF($F51="GUEST","n/a - guest",IFERROR(IF(INDEX('Permission matrix'!$B$2:$J$56,MATCH($F51,'Permission matrix'!$A$2:$A$56,0),MATCH(L$1,'Permission matrix'!$B$1:$J$1,0))=1,"Yes","-"),"?"))))</f>
        <v/>
      </c>
      <c r="M51" s="8">
        <f>IF($F51="(none - every role)","All",IF($F51="DEV","Dev build",IF($F51="GUEST","n/a - guest",IFERROR(IF(INDEX('Permission matrix'!$B$2:$J$56,MATCH($F51,'Permission matrix'!$A$2:$A$56,0),MATCH(M$1,'Permission matrix'!$B$1:$J$1,0))=1,"Yes","-"),"?"))))</f>
        <v/>
      </c>
      <c r="N51" s="8">
        <f>IF($F51="(none - every role)","All",IF($F51="DEV","Dev build",IF($F51="GUEST","n/a - guest",IFERROR(IF(INDEX('Permission matrix'!$B$2:$J$56,MATCH($F51,'Permission matrix'!$A$2:$A$56,0),MATCH(N$1,'Permission matrix'!$B$1:$J$1,0))=1,"Yes","-"),"?"))))</f>
        <v/>
      </c>
      <c r="O51" s="8">
        <f>IF($F51="(none - every role)","All",IF($F51="DEV","Dev build",IF($F51="GUEST","n/a - guest",IFERROR(IF(INDEX('Permission matrix'!$B$2:$J$56,MATCH($F51,'Permission matrix'!$A$2:$A$56,0),MATCH(O$1,'Permission matrix'!$B$1:$J$1,0))=1,"Yes","-"),"?"))))</f>
        <v/>
      </c>
    </row>
    <row r="52">
      <c r="A52" s="5" t="inlineStr">
        <is>
          <t>Analytics &amp; reporting</t>
        </is>
      </c>
      <c r="B52" s="6" t="inlineStr">
        <is>
          <t>Analytics / trends</t>
        </is>
      </c>
      <c r="C52" s="6" t="inlineStr">
        <is>
          <t>/analytics</t>
        </is>
      </c>
      <c r="D52" s="6" t="inlineStr">
        <is>
          <t>Staff (web/PWA)</t>
        </is>
      </c>
      <c r="E52" s="7" t="inlineStr">
        <is>
          <t>Trend charts. The only lazily loaded route, to keep the waiter's bundle small.</t>
        </is>
      </c>
      <c r="F52" s="6" t="inlineStr">
        <is>
          <t>report.financial.view</t>
        </is>
      </c>
      <c r="G52" s="8">
        <f>IF($F52="(none - every role)","All",IF($F52="DEV","Dev build",IF($F52="GUEST","n/a - guest",IFERROR(IF(INDEX('Permission matrix'!$B$2:$J$56,MATCH($F52,'Permission matrix'!$A$2:$A$56,0),MATCH(G$1,'Permission matrix'!$B$1:$J$1,0))=1,"Yes","-"),"?"))))</f>
        <v/>
      </c>
      <c r="H52" s="8">
        <f>IF($F52="(none - every role)","All",IF($F52="DEV","Dev build",IF($F52="GUEST","n/a - guest",IFERROR(IF(INDEX('Permission matrix'!$B$2:$J$56,MATCH($F52,'Permission matrix'!$A$2:$A$56,0),MATCH(H$1,'Permission matrix'!$B$1:$J$1,0))=1,"Yes","-"),"?"))))</f>
        <v/>
      </c>
      <c r="I52" s="8">
        <f>IF($F52="(none - every role)","All",IF($F52="DEV","Dev build",IF($F52="GUEST","n/a - guest",IFERROR(IF(INDEX('Permission matrix'!$B$2:$J$56,MATCH($F52,'Permission matrix'!$A$2:$A$56,0),MATCH(I$1,'Permission matrix'!$B$1:$J$1,0))=1,"Yes","-"),"?"))))</f>
        <v/>
      </c>
      <c r="J52" s="8">
        <f>IF($F52="(none - every role)","All",IF($F52="DEV","Dev build",IF($F52="GUEST","n/a - guest",IFERROR(IF(INDEX('Permission matrix'!$B$2:$J$56,MATCH($F52,'Permission matrix'!$A$2:$A$56,0),MATCH(J$1,'Permission matrix'!$B$1:$J$1,0))=1,"Yes","-"),"?"))))</f>
        <v/>
      </c>
      <c r="K52" s="8">
        <f>IF($F52="(none - every role)","All",IF($F52="DEV","Dev build",IF($F52="GUEST","n/a - guest",IFERROR(IF(INDEX('Permission matrix'!$B$2:$J$56,MATCH($F52,'Permission matrix'!$A$2:$A$56,0),MATCH(K$1,'Permission matrix'!$B$1:$J$1,0))=1,"Yes","-"),"?"))))</f>
        <v/>
      </c>
      <c r="L52" s="8">
        <f>IF($F52="(none - every role)","All",IF($F52="DEV","Dev build",IF($F52="GUEST","n/a - guest",IFERROR(IF(INDEX('Permission matrix'!$B$2:$J$56,MATCH($F52,'Permission matrix'!$A$2:$A$56,0),MATCH(L$1,'Permission matrix'!$B$1:$J$1,0))=1,"Yes","-"),"?"))))</f>
        <v/>
      </c>
      <c r="M52" s="8">
        <f>IF($F52="(none - every role)","All",IF($F52="DEV","Dev build",IF($F52="GUEST","n/a - guest",IFERROR(IF(INDEX('Permission matrix'!$B$2:$J$56,MATCH($F52,'Permission matrix'!$A$2:$A$56,0),MATCH(M$1,'Permission matrix'!$B$1:$J$1,0))=1,"Yes","-"),"?"))))</f>
        <v/>
      </c>
      <c r="N52" s="8">
        <f>IF($F52="(none - every role)","All",IF($F52="DEV","Dev build",IF($F52="GUEST","n/a - guest",IFERROR(IF(INDEX('Permission matrix'!$B$2:$J$56,MATCH($F52,'Permission matrix'!$A$2:$A$56,0),MATCH(N$1,'Permission matrix'!$B$1:$J$1,0))=1,"Yes","-"),"?"))))</f>
        <v/>
      </c>
      <c r="O52" s="8">
        <f>IF($F52="(none - every role)","All",IF($F52="DEV","Dev build",IF($F52="GUEST","n/a - guest",IFERROR(IF(INDEX('Permission matrix'!$B$2:$J$56,MATCH($F52,'Permission matrix'!$A$2:$A$56,0),MATCH(O$1,'Permission matrix'!$B$1:$J$1,0))=1,"Yes","-"),"?"))))</f>
        <v/>
      </c>
    </row>
    <row r="53">
      <c r="A53" s="5" t="inlineStr">
        <is>
          <t>Analytics &amp; reporting</t>
        </is>
      </c>
      <c r="B53" s="6" t="inlineStr">
        <is>
          <t>Audit trail</t>
        </is>
      </c>
      <c r="C53" s="6" t="inlineStr">
        <is>
          <t>/audit</t>
        </is>
      </c>
      <c r="D53" s="6" t="inlineStr">
        <is>
          <t>Staff (web/PWA)</t>
        </is>
      </c>
      <c r="E53" s="7" t="inlineStr">
        <is>
          <t>Who changed what, before and after. Withheld from the manager on purpose.</t>
        </is>
      </c>
      <c r="F53" s="6" t="inlineStr">
        <is>
          <t>audit.view</t>
        </is>
      </c>
      <c r="G53" s="8">
        <f>IF($F53="(none - every role)","All",IF($F53="DEV","Dev build",IF($F53="GUEST","n/a - guest",IFERROR(IF(INDEX('Permission matrix'!$B$2:$J$56,MATCH($F53,'Permission matrix'!$A$2:$A$56,0),MATCH(G$1,'Permission matrix'!$B$1:$J$1,0))=1,"Yes","-"),"?"))))</f>
        <v/>
      </c>
      <c r="H53" s="8">
        <f>IF($F53="(none - every role)","All",IF($F53="DEV","Dev build",IF($F53="GUEST","n/a - guest",IFERROR(IF(INDEX('Permission matrix'!$B$2:$J$56,MATCH($F53,'Permission matrix'!$A$2:$A$56,0),MATCH(H$1,'Permission matrix'!$B$1:$J$1,0))=1,"Yes","-"),"?"))))</f>
        <v/>
      </c>
      <c r="I53" s="8">
        <f>IF($F53="(none - every role)","All",IF($F53="DEV","Dev build",IF($F53="GUEST","n/a - guest",IFERROR(IF(INDEX('Permission matrix'!$B$2:$J$56,MATCH($F53,'Permission matrix'!$A$2:$A$56,0),MATCH(I$1,'Permission matrix'!$B$1:$J$1,0))=1,"Yes","-"),"?"))))</f>
        <v/>
      </c>
      <c r="J53" s="8">
        <f>IF($F53="(none - every role)","All",IF($F53="DEV","Dev build",IF($F53="GUEST","n/a - guest",IFERROR(IF(INDEX('Permission matrix'!$B$2:$J$56,MATCH($F53,'Permission matrix'!$A$2:$A$56,0),MATCH(J$1,'Permission matrix'!$B$1:$J$1,0))=1,"Yes","-"),"?"))))</f>
        <v/>
      </c>
      <c r="K53" s="8">
        <f>IF($F53="(none - every role)","All",IF($F53="DEV","Dev build",IF($F53="GUEST","n/a - guest",IFERROR(IF(INDEX('Permission matrix'!$B$2:$J$56,MATCH($F53,'Permission matrix'!$A$2:$A$56,0),MATCH(K$1,'Permission matrix'!$B$1:$J$1,0))=1,"Yes","-"),"?"))))</f>
        <v/>
      </c>
      <c r="L53" s="8">
        <f>IF($F53="(none - every role)","All",IF($F53="DEV","Dev build",IF($F53="GUEST","n/a - guest",IFERROR(IF(INDEX('Permission matrix'!$B$2:$J$56,MATCH($F53,'Permission matrix'!$A$2:$A$56,0),MATCH(L$1,'Permission matrix'!$B$1:$J$1,0))=1,"Yes","-"),"?"))))</f>
        <v/>
      </c>
      <c r="M53" s="8">
        <f>IF($F53="(none - every role)","All",IF($F53="DEV","Dev build",IF($F53="GUEST","n/a - guest",IFERROR(IF(INDEX('Permission matrix'!$B$2:$J$56,MATCH($F53,'Permission matrix'!$A$2:$A$56,0),MATCH(M$1,'Permission matrix'!$B$1:$J$1,0))=1,"Yes","-"),"?"))))</f>
        <v/>
      </c>
      <c r="N53" s="8">
        <f>IF($F53="(none - every role)","All",IF($F53="DEV","Dev build",IF($F53="GUEST","n/a - guest",IFERROR(IF(INDEX('Permission matrix'!$B$2:$J$56,MATCH($F53,'Permission matrix'!$A$2:$A$56,0),MATCH(N$1,'Permission matrix'!$B$1:$J$1,0))=1,"Yes","-"),"?"))))</f>
        <v/>
      </c>
      <c r="O53" s="8">
        <f>IF($F53="(none - every role)","All",IF($F53="DEV","Dev build",IF($F53="GUEST","n/a - guest",IFERROR(IF(INDEX('Permission matrix'!$B$2:$J$56,MATCH($F53,'Permission matrix'!$A$2:$A$56,0),MATCH(O$1,'Permission matrix'!$B$1:$J$1,0))=1,"Yes","-"),"?"))))</f>
        <v/>
      </c>
    </row>
    <row r="54">
      <c r="A54" s="5" t="inlineStr">
        <is>
          <t>Compliance</t>
        </is>
      </c>
      <c r="B54" s="6" t="inlineStr">
        <is>
          <t>Compliance</t>
        </is>
      </c>
      <c r="C54" s="6" t="inlineStr">
        <is>
          <t>/compliance</t>
        </is>
      </c>
      <c r="D54" s="6" t="inlineStr">
        <is>
          <t>Staff (web/PWA)</t>
        </is>
      </c>
      <c r="E54" s="7" t="inlineStr">
        <is>
          <t>Licence risks in this restaurant's configuration, each citing its instrument. Opening it runs the check.</t>
        </is>
      </c>
      <c r="F54" s="6" t="inlineStr">
        <is>
          <t>compliance.view</t>
        </is>
      </c>
      <c r="G54" s="8">
        <f>IF($F54="(none - every role)","All",IF($F54="DEV","Dev build",IF($F54="GUEST","n/a - guest",IFERROR(IF(INDEX('Permission matrix'!$B$2:$J$56,MATCH($F54,'Permission matrix'!$A$2:$A$56,0),MATCH(G$1,'Permission matrix'!$B$1:$J$1,0))=1,"Yes","-"),"?"))))</f>
        <v/>
      </c>
      <c r="H54" s="8">
        <f>IF($F54="(none - every role)","All",IF($F54="DEV","Dev build",IF($F54="GUEST","n/a - guest",IFERROR(IF(INDEX('Permission matrix'!$B$2:$J$56,MATCH($F54,'Permission matrix'!$A$2:$A$56,0),MATCH(H$1,'Permission matrix'!$B$1:$J$1,0))=1,"Yes","-"),"?"))))</f>
        <v/>
      </c>
      <c r="I54" s="8">
        <f>IF($F54="(none - every role)","All",IF($F54="DEV","Dev build",IF($F54="GUEST","n/a - guest",IFERROR(IF(INDEX('Permission matrix'!$B$2:$J$56,MATCH($F54,'Permission matrix'!$A$2:$A$56,0),MATCH(I$1,'Permission matrix'!$B$1:$J$1,0))=1,"Yes","-"),"?"))))</f>
        <v/>
      </c>
      <c r="J54" s="8">
        <f>IF($F54="(none - every role)","All",IF($F54="DEV","Dev build",IF($F54="GUEST","n/a - guest",IFERROR(IF(INDEX('Permission matrix'!$B$2:$J$56,MATCH($F54,'Permission matrix'!$A$2:$A$56,0),MATCH(J$1,'Permission matrix'!$B$1:$J$1,0))=1,"Yes","-"),"?"))))</f>
        <v/>
      </c>
      <c r="K54" s="8">
        <f>IF($F54="(none - every role)","All",IF($F54="DEV","Dev build",IF($F54="GUEST","n/a - guest",IFERROR(IF(INDEX('Permission matrix'!$B$2:$J$56,MATCH($F54,'Permission matrix'!$A$2:$A$56,0),MATCH(K$1,'Permission matrix'!$B$1:$J$1,0))=1,"Yes","-"),"?"))))</f>
        <v/>
      </c>
      <c r="L54" s="8">
        <f>IF($F54="(none - every role)","All",IF($F54="DEV","Dev build",IF($F54="GUEST","n/a - guest",IFERROR(IF(INDEX('Permission matrix'!$B$2:$J$56,MATCH($F54,'Permission matrix'!$A$2:$A$56,0),MATCH(L$1,'Permission matrix'!$B$1:$J$1,0))=1,"Yes","-"),"?"))))</f>
        <v/>
      </c>
      <c r="M54" s="8">
        <f>IF($F54="(none - every role)","All",IF($F54="DEV","Dev build",IF($F54="GUEST","n/a - guest",IFERROR(IF(INDEX('Permission matrix'!$B$2:$J$56,MATCH($F54,'Permission matrix'!$A$2:$A$56,0),MATCH(M$1,'Permission matrix'!$B$1:$J$1,0))=1,"Yes","-"),"?"))))</f>
        <v/>
      </c>
      <c r="N54" s="8">
        <f>IF($F54="(none - every role)","All",IF($F54="DEV","Dev build",IF($F54="GUEST","n/a - guest",IFERROR(IF(INDEX('Permission matrix'!$B$2:$J$56,MATCH($F54,'Permission matrix'!$A$2:$A$56,0),MATCH(N$1,'Permission matrix'!$B$1:$J$1,0))=1,"Yes","-"),"?"))))</f>
        <v/>
      </c>
      <c r="O54" s="8">
        <f>IF($F54="(none - every role)","All",IF($F54="DEV","Dev build",IF($F54="GUEST","n/a - guest",IFERROR(IF(INDEX('Permission matrix'!$B$2:$J$56,MATCH($F54,'Permission matrix'!$A$2:$A$56,0),MATCH(O$1,'Permission matrix'!$B$1:$J$1,0))=1,"Yes","-"),"?"))))</f>
        <v/>
      </c>
    </row>
    <row r="55">
      <c r="A55" s="5" t="inlineStr">
        <is>
          <t>Setup &amp; configuration</t>
        </is>
      </c>
      <c r="B55" s="6" t="inlineStr">
        <is>
          <t>Restaurant settings</t>
        </is>
      </c>
      <c r="C55" s="6" t="inlineStr">
        <is>
          <t>/settings</t>
        </is>
      </c>
      <c r="D55" s="6" t="inlineStr">
        <is>
          <t>Staff (web/PWA)</t>
        </is>
      </c>
      <c r="E55" s="7" t="inlineStr">
        <is>
          <t>Identity, timezone, business-day start, currency, FSSAI and GSTIN.</t>
        </is>
      </c>
      <c r="F55" s="6" t="inlineStr">
        <is>
          <t>restaurant.configure</t>
        </is>
      </c>
      <c r="G55" s="8">
        <f>IF($F55="(none - every role)","All",IF($F55="DEV","Dev build",IF($F55="GUEST","n/a - guest",IFERROR(IF(INDEX('Permission matrix'!$B$2:$J$56,MATCH($F55,'Permission matrix'!$A$2:$A$56,0),MATCH(G$1,'Permission matrix'!$B$1:$J$1,0))=1,"Yes","-"),"?"))))</f>
        <v/>
      </c>
      <c r="H55" s="8">
        <f>IF($F55="(none - every role)","All",IF($F55="DEV","Dev build",IF($F55="GUEST","n/a - guest",IFERROR(IF(INDEX('Permission matrix'!$B$2:$J$56,MATCH($F55,'Permission matrix'!$A$2:$A$56,0),MATCH(H$1,'Permission matrix'!$B$1:$J$1,0))=1,"Yes","-"),"?"))))</f>
        <v/>
      </c>
      <c r="I55" s="8">
        <f>IF($F55="(none - every role)","All",IF($F55="DEV","Dev build",IF($F55="GUEST","n/a - guest",IFERROR(IF(INDEX('Permission matrix'!$B$2:$J$56,MATCH($F55,'Permission matrix'!$A$2:$A$56,0),MATCH(I$1,'Permission matrix'!$B$1:$J$1,0))=1,"Yes","-"),"?"))))</f>
        <v/>
      </c>
      <c r="J55" s="8">
        <f>IF($F55="(none - every role)","All",IF($F55="DEV","Dev build",IF($F55="GUEST","n/a - guest",IFERROR(IF(INDEX('Permission matrix'!$B$2:$J$56,MATCH($F55,'Permission matrix'!$A$2:$A$56,0),MATCH(J$1,'Permission matrix'!$B$1:$J$1,0))=1,"Yes","-"),"?"))))</f>
        <v/>
      </c>
      <c r="K55" s="8">
        <f>IF($F55="(none - every role)","All",IF($F55="DEV","Dev build",IF($F55="GUEST","n/a - guest",IFERROR(IF(INDEX('Permission matrix'!$B$2:$J$56,MATCH($F55,'Permission matrix'!$A$2:$A$56,0),MATCH(K$1,'Permission matrix'!$B$1:$J$1,0))=1,"Yes","-"),"?"))))</f>
        <v/>
      </c>
      <c r="L55" s="8">
        <f>IF($F55="(none - every role)","All",IF($F55="DEV","Dev build",IF($F55="GUEST","n/a - guest",IFERROR(IF(INDEX('Permission matrix'!$B$2:$J$56,MATCH($F55,'Permission matrix'!$A$2:$A$56,0),MATCH(L$1,'Permission matrix'!$B$1:$J$1,0))=1,"Yes","-"),"?"))))</f>
        <v/>
      </c>
      <c r="M55" s="8">
        <f>IF($F55="(none - every role)","All",IF($F55="DEV","Dev build",IF($F55="GUEST","n/a - guest",IFERROR(IF(INDEX('Permission matrix'!$B$2:$J$56,MATCH($F55,'Permission matrix'!$A$2:$A$56,0),MATCH(M$1,'Permission matrix'!$B$1:$J$1,0))=1,"Yes","-"),"?"))))</f>
        <v/>
      </c>
      <c r="N55" s="8">
        <f>IF($F55="(none - every role)","All",IF($F55="DEV","Dev build",IF($F55="GUEST","n/a - guest",IFERROR(IF(INDEX('Permission matrix'!$B$2:$J$56,MATCH($F55,'Permission matrix'!$A$2:$A$56,0),MATCH(N$1,'Permission matrix'!$B$1:$J$1,0))=1,"Yes","-"),"?"))))</f>
        <v/>
      </c>
      <c r="O55" s="8">
        <f>IF($F55="(none - every role)","All",IF($F55="DEV","Dev build",IF($F55="GUEST","n/a - guest",IFERROR(IF(INDEX('Permission matrix'!$B$2:$J$56,MATCH($F55,'Permission matrix'!$A$2:$A$56,0),MATCH(O$1,'Permission matrix'!$B$1:$J$1,0))=1,"Yes","-"),"?"))))</f>
        <v/>
      </c>
    </row>
    <row r="56">
      <c r="A56" s="5" t="inlineStr">
        <is>
          <t>Setup &amp; configuration</t>
        </is>
      </c>
      <c r="B56" s="6" t="inlineStr">
        <is>
          <t>Floor plan</t>
        </is>
      </c>
      <c r="C56" s="6" t="inlineStr">
        <is>
          <t>/settings/floor</t>
        </is>
      </c>
      <c r="D56" s="6" t="inlineStr">
        <is>
          <t>Staff (web/PWA)</t>
        </is>
      </c>
      <c r="E56" s="7" t="inlineStr">
        <is>
          <t>Sections and tables, and the table QR slugs.</t>
        </is>
      </c>
      <c r="F56" s="6" t="inlineStr">
        <is>
          <t>restaurant.configure</t>
        </is>
      </c>
      <c r="G56" s="8">
        <f>IF($F56="(none - every role)","All",IF($F56="DEV","Dev build",IF($F56="GUEST","n/a - guest",IFERROR(IF(INDEX('Permission matrix'!$B$2:$J$56,MATCH($F56,'Permission matrix'!$A$2:$A$56,0),MATCH(G$1,'Permission matrix'!$B$1:$J$1,0))=1,"Yes","-"),"?"))))</f>
        <v/>
      </c>
      <c r="H56" s="8">
        <f>IF($F56="(none - every role)","All",IF($F56="DEV","Dev build",IF($F56="GUEST","n/a - guest",IFERROR(IF(INDEX('Permission matrix'!$B$2:$J$56,MATCH($F56,'Permission matrix'!$A$2:$A$56,0),MATCH(H$1,'Permission matrix'!$B$1:$J$1,0))=1,"Yes","-"),"?"))))</f>
        <v/>
      </c>
      <c r="I56" s="8">
        <f>IF($F56="(none - every role)","All",IF($F56="DEV","Dev build",IF($F56="GUEST","n/a - guest",IFERROR(IF(INDEX('Permission matrix'!$B$2:$J$56,MATCH($F56,'Permission matrix'!$A$2:$A$56,0),MATCH(I$1,'Permission matrix'!$B$1:$J$1,0))=1,"Yes","-"),"?"))))</f>
        <v/>
      </c>
      <c r="J56" s="8">
        <f>IF($F56="(none - every role)","All",IF($F56="DEV","Dev build",IF($F56="GUEST","n/a - guest",IFERROR(IF(INDEX('Permission matrix'!$B$2:$J$56,MATCH($F56,'Permission matrix'!$A$2:$A$56,0),MATCH(J$1,'Permission matrix'!$B$1:$J$1,0))=1,"Yes","-"),"?"))))</f>
        <v/>
      </c>
      <c r="K56" s="8">
        <f>IF($F56="(none - every role)","All",IF($F56="DEV","Dev build",IF($F56="GUEST","n/a - guest",IFERROR(IF(INDEX('Permission matrix'!$B$2:$J$56,MATCH($F56,'Permission matrix'!$A$2:$A$56,0),MATCH(K$1,'Permission matrix'!$B$1:$J$1,0))=1,"Yes","-"),"?"))))</f>
        <v/>
      </c>
      <c r="L56" s="8">
        <f>IF($F56="(none - every role)","All",IF($F56="DEV","Dev build",IF($F56="GUEST","n/a - guest",IFERROR(IF(INDEX('Permission matrix'!$B$2:$J$56,MATCH($F56,'Permission matrix'!$A$2:$A$56,0),MATCH(L$1,'Permission matrix'!$B$1:$J$1,0))=1,"Yes","-"),"?"))))</f>
        <v/>
      </c>
      <c r="M56" s="8">
        <f>IF($F56="(none - every role)","All",IF($F56="DEV","Dev build",IF($F56="GUEST","n/a - guest",IFERROR(IF(INDEX('Permission matrix'!$B$2:$J$56,MATCH($F56,'Permission matrix'!$A$2:$A$56,0),MATCH(M$1,'Permission matrix'!$B$1:$J$1,0))=1,"Yes","-"),"?"))))</f>
        <v/>
      </c>
      <c r="N56" s="8">
        <f>IF($F56="(none - every role)","All",IF($F56="DEV","Dev build",IF($F56="GUEST","n/a - guest",IFERROR(IF(INDEX('Permission matrix'!$B$2:$J$56,MATCH($F56,'Permission matrix'!$A$2:$A$56,0),MATCH(N$1,'Permission matrix'!$B$1:$J$1,0))=1,"Yes","-"),"?"))))</f>
        <v/>
      </c>
      <c r="O56" s="8">
        <f>IF($F56="(none - every role)","All",IF($F56="DEV","Dev build",IF($F56="GUEST","n/a - guest",IFERROR(IF(INDEX('Permission matrix'!$B$2:$J$56,MATCH($F56,'Permission matrix'!$A$2:$A$56,0),MATCH(O$1,'Permission matrix'!$B$1:$J$1,0))=1,"Yes","-"),"?"))))</f>
        <v/>
      </c>
    </row>
    <row r="57">
      <c r="A57" s="5" t="inlineStr">
        <is>
          <t>Setup &amp; configuration</t>
        </is>
      </c>
      <c r="B57" s="6" t="inlineStr">
        <is>
          <t>Kitchen stations</t>
        </is>
      </c>
      <c r="C57" s="6" t="inlineStr">
        <is>
          <t>/settings/stations</t>
        </is>
      </c>
      <c r="D57" s="6" t="inlineStr">
        <is>
          <t>Staff (web/PWA)</t>
        </is>
      </c>
      <c r="E57" s="7" t="inlineStr">
        <is>
          <t>Stations and the routing that puts a dish on the right rail.</t>
        </is>
      </c>
      <c r="F57" s="6" t="inlineStr">
        <is>
          <t>restaurant.configure</t>
        </is>
      </c>
      <c r="G57" s="8">
        <f>IF($F57="(none - every role)","All",IF($F57="DEV","Dev build",IF($F57="GUEST","n/a - guest",IFERROR(IF(INDEX('Permission matrix'!$B$2:$J$56,MATCH($F57,'Permission matrix'!$A$2:$A$56,0),MATCH(G$1,'Permission matrix'!$B$1:$J$1,0))=1,"Yes","-"),"?"))))</f>
        <v/>
      </c>
      <c r="H57" s="8">
        <f>IF($F57="(none - every role)","All",IF($F57="DEV","Dev build",IF($F57="GUEST","n/a - guest",IFERROR(IF(INDEX('Permission matrix'!$B$2:$J$56,MATCH($F57,'Permission matrix'!$A$2:$A$56,0),MATCH(H$1,'Permission matrix'!$B$1:$J$1,0))=1,"Yes","-"),"?"))))</f>
        <v/>
      </c>
      <c r="I57" s="8">
        <f>IF($F57="(none - every role)","All",IF($F57="DEV","Dev build",IF($F57="GUEST","n/a - guest",IFERROR(IF(INDEX('Permission matrix'!$B$2:$J$56,MATCH($F57,'Permission matrix'!$A$2:$A$56,0),MATCH(I$1,'Permission matrix'!$B$1:$J$1,0))=1,"Yes","-"),"?"))))</f>
        <v/>
      </c>
      <c r="J57" s="8">
        <f>IF($F57="(none - every role)","All",IF($F57="DEV","Dev build",IF($F57="GUEST","n/a - guest",IFERROR(IF(INDEX('Permission matrix'!$B$2:$J$56,MATCH($F57,'Permission matrix'!$A$2:$A$56,0),MATCH(J$1,'Permission matrix'!$B$1:$J$1,0))=1,"Yes","-"),"?"))))</f>
        <v/>
      </c>
      <c r="K57" s="8">
        <f>IF($F57="(none - every role)","All",IF($F57="DEV","Dev build",IF($F57="GUEST","n/a - guest",IFERROR(IF(INDEX('Permission matrix'!$B$2:$J$56,MATCH($F57,'Permission matrix'!$A$2:$A$56,0),MATCH(K$1,'Permission matrix'!$B$1:$J$1,0))=1,"Yes","-"),"?"))))</f>
        <v/>
      </c>
      <c r="L57" s="8">
        <f>IF($F57="(none - every role)","All",IF($F57="DEV","Dev build",IF($F57="GUEST","n/a - guest",IFERROR(IF(INDEX('Permission matrix'!$B$2:$J$56,MATCH($F57,'Permission matrix'!$A$2:$A$56,0),MATCH(L$1,'Permission matrix'!$B$1:$J$1,0))=1,"Yes","-"),"?"))))</f>
        <v/>
      </c>
      <c r="M57" s="8">
        <f>IF($F57="(none - every role)","All",IF($F57="DEV","Dev build",IF($F57="GUEST","n/a - guest",IFERROR(IF(INDEX('Permission matrix'!$B$2:$J$56,MATCH($F57,'Permission matrix'!$A$2:$A$56,0),MATCH(M$1,'Permission matrix'!$B$1:$J$1,0))=1,"Yes","-"),"?"))))</f>
        <v/>
      </c>
      <c r="N57" s="8">
        <f>IF($F57="(none - every role)","All",IF($F57="DEV","Dev build",IF($F57="GUEST","n/a - guest",IFERROR(IF(INDEX('Permission matrix'!$B$2:$J$56,MATCH($F57,'Permission matrix'!$A$2:$A$56,0),MATCH(N$1,'Permission matrix'!$B$1:$J$1,0))=1,"Yes","-"),"?"))))</f>
        <v/>
      </c>
      <c r="O57" s="8">
        <f>IF($F57="(none - every role)","All",IF($F57="DEV","Dev build",IF($F57="GUEST","n/a - guest",IFERROR(IF(INDEX('Permission matrix'!$B$2:$J$56,MATCH($F57,'Permission matrix'!$A$2:$A$56,0),MATCH(O$1,'Permission matrix'!$B$1:$J$1,0))=1,"Yes","-"),"?"))))</f>
        <v/>
      </c>
    </row>
    <row r="58">
      <c r="A58" s="5" t="inlineStr">
        <is>
          <t>Setup &amp; configuration</t>
        </is>
      </c>
      <c r="B58" s="6" t="inlineStr">
        <is>
          <t>Tax rates</t>
        </is>
      </c>
      <c r="C58" s="6" t="inlineStr">
        <is>
          <t>/settings/tax</t>
        </is>
      </c>
      <c r="D58" s="6" t="inlineStr">
        <is>
          <t>Staff (web/PWA)</t>
        </is>
      </c>
      <c r="E58" s="7" t="inlineStr">
        <is>
          <t>Tax groups and rates. See the defect note on the Read me sheet.</t>
        </is>
      </c>
      <c r="F58" s="6" t="inlineStr">
        <is>
          <t>restaurant.configure</t>
        </is>
      </c>
      <c r="G58" s="8">
        <f>IF($F58="(none - every role)","All",IF($F58="DEV","Dev build",IF($F58="GUEST","n/a - guest",IFERROR(IF(INDEX('Permission matrix'!$B$2:$J$56,MATCH($F58,'Permission matrix'!$A$2:$A$56,0),MATCH(G$1,'Permission matrix'!$B$1:$J$1,0))=1,"Yes","-"),"?"))))</f>
        <v/>
      </c>
      <c r="H58" s="8">
        <f>IF($F58="(none - every role)","All",IF($F58="DEV","Dev build",IF($F58="GUEST","n/a - guest",IFERROR(IF(INDEX('Permission matrix'!$B$2:$J$56,MATCH($F58,'Permission matrix'!$A$2:$A$56,0),MATCH(H$1,'Permission matrix'!$B$1:$J$1,0))=1,"Yes","-"),"?"))))</f>
        <v/>
      </c>
      <c r="I58" s="8">
        <f>IF($F58="(none - every role)","All",IF($F58="DEV","Dev build",IF($F58="GUEST","n/a - guest",IFERROR(IF(INDEX('Permission matrix'!$B$2:$J$56,MATCH($F58,'Permission matrix'!$A$2:$A$56,0),MATCH(I$1,'Permission matrix'!$B$1:$J$1,0))=1,"Yes","-"),"?"))))</f>
        <v/>
      </c>
      <c r="J58" s="8">
        <f>IF($F58="(none - every role)","All",IF($F58="DEV","Dev build",IF($F58="GUEST","n/a - guest",IFERROR(IF(INDEX('Permission matrix'!$B$2:$J$56,MATCH($F58,'Permission matrix'!$A$2:$A$56,0),MATCH(J$1,'Permission matrix'!$B$1:$J$1,0))=1,"Yes","-"),"?"))))</f>
        <v/>
      </c>
      <c r="K58" s="8">
        <f>IF($F58="(none - every role)","All",IF($F58="DEV","Dev build",IF($F58="GUEST","n/a - guest",IFERROR(IF(INDEX('Permission matrix'!$B$2:$J$56,MATCH($F58,'Permission matrix'!$A$2:$A$56,0),MATCH(K$1,'Permission matrix'!$B$1:$J$1,0))=1,"Yes","-"),"?"))))</f>
        <v/>
      </c>
      <c r="L58" s="8">
        <f>IF($F58="(none - every role)","All",IF($F58="DEV","Dev build",IF($F58="GUEST","n/a - guest",IFERROR(IF(INDEX('Permission matrix'!$B$2:$J$56,MATCH($F58,'Permission matrix'!$A$2:$A$56,0),MATCH(L$1,'Permission matrix'!$B$1:$J$1,0))=1,"Yes","-"),"?"))))</f>
        <v/>
      </c>
      <c r="M58" s="8">
        <f>IF($F58="(none - every role)","All",IF($F58="DEV","Dev build",IF($F58="GUEST","n/a - guest",IFERROR(IF(INDEX('Permission matrix'!$B$2:$J$56,MATCH($F58,'Permission matrix'!$A$2:$A$56,0),MATCH(M$1,'Permission matrix'!$B$1:$J$1,0))=1,"Yes","-"),"?"))))</f>
        <v/>
      </c>
      <c r="N58" s="8">
        <f>IF($F58="(none - every role)","All",IF($F58="DEV","Dev build",IF($F58="GUEST","n/a - guest",IFERROR(IF(INDEX('Permission matrix'!$B$2:$J$56,MATCH($F58,'Permission matrix'!$A$2:$A$56,0),MATCH(N$1,'Permission matrix'!$B$1:$J$1,0))=1,"Yes","-"),"?"))))</f>
        <v/>
      </c>
      <c r="O58" s="8">
        <f>IF($F58="(none - every role)","All",IF($F58="DEV","Dev build",IF($F58="GUEST","n/a - guest",IFERROR(IF(INDEX('Permission matrix'!$B$2:$J$56,MATCH($F58,'Permission matrix'!$A$2:$A$56,0),MATCH(O$1,'Permission matrix'!$B$1:$J$1,0))=1,"Yes","-"),"?"))))</f>
        <v/>
      </c>
    </row>
    <row r="59">
      <c r="A59" s="5" t="inlineStr">
        <is>
          <t>Setup &amp; configuration</t>
        </is>
      </c>
      <c r="B59" s="6" t="inlineStr">
        <is>
          <t>Shift setup</t>
        </is>
      </c>
      <c r="C59" s="6" t="inlineStr">
        <is>
          <t>/settings/shifts</t>
        </is>
      </c>
      <c r="D59" s="6" t="inlineStr">
        <is>
          <t>Staff (web/PWA)</t>
        </is>
      </c>
      <c r="E59" s="7" t="inlineStr">
        <is>
          <t>Define the shifts a roster is built from. See the defect note on the Read me sheet.</t>
        </is>
      </c>
      <c r="F59" s="6" t="inlineStr">
        <is>
          <t>shift.manage</t>
        </is>
      </c>
      <c r="G59" s="8">
        <f>IF($F59="(none - every role)","All",IF($F59="DEV","Dev build",IF($F59="GUEST","n/a - guest",IFERROR(IF(INDEX('Permission matrix'!$B$2:$J$56,MATCH($F59,'Permission matrix'!$A$2:$A$56,0),MATCH(G$1,'Permission matrix'!$B$1:$J$1,0))=1,"Yes","-"),"?"))))</f>
        <v/>
      </c>
      <c r="H59" s="8">
        <f>IF($F59="(none - every role)","All",IF($F59="DEV","Dev build",IF($F59="GUEST","n/a - guest",IFERROR(IF(INDEX('Permission matrix'!$B$2:$J$56,MATCH($F59,'Permission matrix'!$A$2:$A$56,0),MATCH(H$1,'Permission matrix'!$B$1:$J$1,0))=1,"Yes","-"),"?"))))</f>
        <v/>
      </c>
      <c r="I59" s="8">
        <f>IF($F59="(none - every role)","All",IF($F59="DEV","Dev build",IF($F59="GUEST","n/a - guest",IFERROR(IF(INDEX('Permission matrix'!$B$2:$J$56,MATCH($F59,'Permission matrix'!$A$2:$A$56,0),MATCH(I$1,'Permission matrix'!$B$1:$J$1,0))=1,"Yes","-"),"?"))))</f>
        <v/>
      </c>
      <c r="J59" s="8">
        <f>IF($F59="(none - every role)","All",IF($F59="DEV","Dev build",IF($F59="GUEST","n/a - guest",IFERROR(IF(INDEX('Permission matrix'!$B$2:$J$56,MATCH($F59,'Permission matrix'!$A$2:$A$56,0),MATCH(J$1,'Permission matrix'!$B$1:$J$1,0))=1,"Yes","-"),"?"))))</f>
        <v/>
      </c>
      <c r="K59" s="8">
        <f>IF($F59="(none - every role)","All",IF($F59="DEV","Dev build",IF($F59="GUEST","n/a - guest",IFERROR(IF(INDEX('Permission matrix'!$B$2:$J$56,MATCH($F59,'Permission matrix'!$A$2:$A$56,0),MATCH(K$1,'Permission matrix'!$B$1:$J$1,0))=1,"Yes","-"),"?"))))</f>
        <v/>
      </c>
      <c r="L59" s="8">
        <f>IF($F59="(none - every role)","All",IF($F59="DEV","Dev build",IF($F59="GUEST","n/a - guest",IFERROR(IF(INDEX('Permission matrix'!$B$2:$J$56,MATCH($F59,'Permission matrix'!$A$2:$A$56,0),MATCH(L$1,'Permission matrix'!$B$1:$J$1,0))=1,"Yes","-"),"?"))))</f>
        <v/>
      </c>
      <c r="M59" s="8">
        <f>IF($F59="(none - every role)","All",IF($F59="DEV","Dev build",IF($F59="GUEST","n/a - guest",IFERROR(IF(INDEX('Permission matrix'!$B$2:$J$56,MATCH($F59,'Permission matrix'!$A$2:$A$56,0),MATCH(M$1,'Permission matrix'!$B$1:$J$1,0))=1,"Yes","-"),"?"))))</f>
        <v/>
      </c>
      <c r="N59" s="8">
        <f>IF($F59="(none - every role)","All",IF($F59="DEV","Dev build",IF($F59="GUEST","n/a - guest",IFERROR(IF(INDEX('Permission matrix'!$B$2:$J$56,MATCH($F59,'Permission matrix'!$A$2:$A$56,0),MATCH(N$1,'Permission matrix'!$B$1:$J$1,0))=1,"Yes","-"),"?"))))</f>
        <v/>
      </c>
      <c r="O59" s="8">
        <f>IF($F59="(none - every role)","All",IF($F59="DEV","Dev build",IF($F59="GUEST","n/a - guest",IFERROR(IF(INDEX('Permission matrix'!$B$2:$J$56,MATCH($F59,'Permission matrix'!$A$2:$A$56,0),MATCH(O$1,'Permission matrix'!$B$1:$J$1,0))=1,"Yes","-"),"?"))))</f>
        <v/>
      </c>
    </row>
    <row r="60">
      <c r="A60" s="5" t="inlineStr">
        <is>
          <t>Developer only</t>
        </is>
      </c>
      <c r="B60" s="6" t="inlineStr">
        <is>
          <t>Design gallery</t>
        </is>
      </c>
      <c r="C60" s="6" t="inlineStr">
        <is>
          <t>/design</t>
        </is>
      </c>
      <c r="D60" s="6" t="inlineStr">
        <is>
          <t>Staff (dev build only)</t>
        </is>
      </c>
      <c r="E60" s="7" t="inlineStr">
        <is>
          <t>Token and component gallery. The route exists only in a development build.</t>
        </is>
      </c>
      <c r="F60" s="6" t="inlineStr">
        <is>
          <t>DEV</t>
        </is>
      </c>
      <c r="G60" s="8">
        <f>IF($F60="(none - every role)","All",IF($F60="DEV","Dev build",IF($F60="GUEST","n/a - guest",IFERROR(IF(INDEX('Permission matrix'!$B$2:$J$56,MATCH($F60,'Permission matrix'!$A$2:$A$56,0),MATCH(G$1,'Permission matrix'!$B$1:$J$1,0))=1,"Yes","-"),"?"))))</f>
        <v/>
      </c>
      <c r="H60" s="8">
        <f>IF($F60="(none - every role)","All",IF($F60="DEV","Dev build",IF($F60="GUEST","n/a - guest",IFERROR(IF(INDEX('Permission matrix'!$B$2:$J$56,MATCH($F60,'Permission matrix'!$A$2:$A$56,0),MATCH(H$1,'Permission matrix'!$B$1:$J$1,0))=1,"Yes","-"),"?"))))</f>
        <v/>
      </c>
      <c r="I60" s="8">
        <f>IF($F60="(none - every role)","All",IF($F60="DEV","Dev build",IF($F60="GUEST","n/a - guest",IFERROR(IF(INDEX('Permission matrix'!$B$2:$J$56,MATCH($F60,'Permission matrix'!$A$2:$A$56,0),MATCH(I$1,'Permission matrix'!$B$1:$J$1,0))=1,"Yes","-"),"?"))))</f>
        <v/>
      </c>
      <c r="J60" s="8">
        <f>IF($F60="(none - every role)","All",IF($F60="DEV","Dev build",IF($F60="GUEST","n/a - guest",IFERROR(IF(INDEX('Permission matrix'!$B$2:$J$56,MATCH($F60,'Permission matrix'!$A$2:$A$56,0),MATCH(J$1,'Permission matrix'!$B$1:$J$1,0))=1,"Yes","-"),"?"))))</f>
        <v/>
      </c>
      <c r="K60" s="8">
        <f>IF($F60="(none - every role)","All",IF($F60="DEV","Dev build",IF($F60="GUEST","n/a - guest",IFERROR(IF(INDEX('Permission matrix'!$B$2:$J$56,MATCH($F60,'Permission matrix'!$A$2:$A$56,0),MATCH(K$1,'Permission matrix'!$B$1:$J$1,0))=1,"Yes","-"),"?"))))</f>
        <v/>
      </c>
      <c r="L60" s="8">
        <f>IF($F60="(none - every role)","All",IF($F60="DEV","Dev build",IF($F60="GUEST","n/a - guest",IFERROR(IF(INDEX('Permission matrix'!$B$2:$J$56,MATCH($F60,'Permission matrix'!$A$2:$A$56,0),MATCH(L$1,'Permission matrix'!$B$1:$J$1,0))=1,"Yes","-"),"?"))))</f>
        <v/>
      </c>
      <c r="M60" s="8">
        <f>IF($F60="(none - every role)","All",IF($F60="DEV","Dev build",IF($F60="GUEST","n/a - guest",IFERROR(IF(INDEX('Permission matrix'!$B$2:$J$56,MATCH($F60,'Permission matrix'!$A$2:$A$56,0),MATCH(M$1,'Permission matrix'!$B$1:$J$1,0))=1,"Yes","-"),"?"))))</f>
        <v/>
      </c>
      <c r="N60" s="8">
        <f>IF($F60="(none - every role)","All",IF($F60="DEV","Dev build",IF($F60="GUEST","n/a - guest",IFERROR(IF(INDEX('Permission matrix'!$B$2:$J$56,MATCH($F60,'Permission matrix'!$A$2:$A$56,0),MATCH(N$1,'Permission matrix'!$B$1:$J$1,0))=1,"Yes","-"),"?"))))</f>
        <v/>
      </c>
      <c r="O60" s="8">
        <f>IF($F60="(none - every role)","All",IF($F60="DEV","Dev build",IF($F60="GUEST","n/a - guest",IFERROR(IF(INDEX('Permission matrix'!$B$2:$J$56,MATCH($F60,'Permission matrix'!$A$2:$A$56,0),MATCH(O$1,'Permission matrix'!$B$1:$J$1,0))=1,"Yes","-"),"?"))))</f>
        <v/>
      </c>
    </row>
    <row r="61">
      <c r="A61" s="5" t="inlineStr">
        <is>
          <t>Guest (QR)</t>
        </is>
      </c>
      <c r="B61" s="6" t="inlineStr">
        <is>
          <t>Menu</t>
        </is>
      </c>
      <c r="C61" s="6" t="inlineStr">
        <is>
          <t>/?t=&lt;table slug&gt;</t>
        </is>
      </c>
      <c r="D61" s="6" t="inlineStr">
        <is>
          <t>Guest (phone, no sign-in)</t>
        </is>
      </c>
      <c r="E61" s="7" t="inlineStr">
        <is>
          <t>Read-only menu opened by the sticker on the table. Nothing kept after the visit.</t>
        </is>
      </c>
      <c r="F61" s="6" t="inlineStr">
        <is>
          <t>GUEST</t>
        </is>
      </c>
      <c r="G61" s="8">
        <f>IF($F61="(none - every role)","All",IF($F61="DEV","Dev build",IF($F61="GUEST","n/a - guest",IFERROR(IF(INDEX('Permission matrix'!$B$2:$J$56,MATCH($F61,'Permission matrix'!$A$2:$A$56,0),MATCH(G$1,'Permission matrix'!$B$1:$J$1,0))=1,"Yes","-"),"?"))))</f>
        <v/>
      </c>
      <c r="H61" s="8">
        <f>IF($F61="(none - every role)","All",IF($F61="DEV","Dev build",IF($F61="GUEST","n/a - guest",IFERROR(IF(INDEX('Permission matrix'!$B$2:$J$56,MATCH($F61,'Permission matrix'!$A$2:$A$56,0),MATCH(H$1,'Permission matrix'!$B$1:$J$1,0))=1,"Yes","-"),"?"))))</f>
        <v/>
      </c>
      <c r="I61" s="8">
        <f>IF($F61="(none - every role)","All",IF($F61="DEV","Dev build",IF($F61="GUEST","n/a - guest",IFERROR(IF(INDEX('Permission matrix'!$B$2:$J$56,MATCH($F61,'Permission matrix'!$A$2:$A$56,0),MATCH(I$1,'Permission matrix'!$B$1:$J$1,0))=1,"Yes","-"),"?"))))</f>
        <v/>
      </c>
      <c r="J61" s="8">
        <f>IF($F61="(none - every role)","All",IF($F61="DEV","Dev build",IF($F61="GUEST","n/a - guest",IFERROR(IF(INDEX('Permission matrix'!$B$2:$J$56,MATCH($F61,'Permission matrix'!$A$2:$A$56,0),MATCH(J$1,'Permission matrix'!$B$1:$J$1,0))=1,"Yes","-"),"?"))))</f>
        <v/>
      </c>
      <c r="K61" s="8">
        <f>IF($F61="(none - every role)","All",IF($F61="DEV","Dev build",IF($F61="GUEST","n/a - guest",IFERROR(IF(INDEX('Permission matrix'!$B$2:$J$56,MATCH($F61,'Permission matrix'!$A$2:$A$56,0),MATCH(K$1,'Permission matrix'!$B$1:$J$1,0))=1,"Yes","-"),"?"))))</f>
        <v/>
      </c>
      <c r="L61" s="8">
        <f>IF($F61="(none - every role)","All",IF($F61="DEV","Dev build",IF($F61="GUEST","n/a - guest",IFERROR(IF(INDEX('Permission matrix'!$B$2:$J$56,MATCH($F61,'Permission matrix'!$A$2:$A$56,0),MATCH(L$1,'Permission matrix'!$B$1:$J$1,0))=1,"Yes","-"),"?"))))</f>
        <v/>
      </c>
      <c r="M61" s="8">
        <f>IF($F61="(none - every role)","All",IF($F61="DEV","Dev build",IF($F61="GUEST","n/a - guest",IFERROR(IF(INDEX('Permission matrix'!$B$2:$J$56,MATCH($F61,'Permission matrix'!$A$2:$A$56,0),MATCH(M$1,'Permission matrix'!$B$1:$J$1,0))=1,"Yes","-"),"?"))))</f>
        <v/>
      </c>
      <c r="N61" s="8">
        <f>IF($F61="(none - every role)","All",IF($F61="DEV","Dev build",IF($F61="GUEST","n/a - guest",IFERROR(IF(INDEX('Permission matrix'!$B$2:$J$56,MATCH($F61,'Permission matrix'!$A$2:$A$56,0),MATCH(N$1,'Permission matrix'!$B$1:$J$1,0))=1,"Yes","-"),"?"))))</f>
        <v/>
      </c>
      <c r="O61" s="8">
        <f>IF($F61="(none - every role)","All",IF($F61="DEV","Dev build",IF($F61="GUEST","n/a - guest",IFERROR(IF(INDEX('Permission matrix'!$B$2:$J$56,MATCH($F61,'Permission matrix'!$A$2:$A$56,0),MATCH(O$1,'Permission matrix'!$B$1:$J$1,0))=1,"Yes","-"),"?"))))</f>
        <v/>
      </c>
    </row>
    <row r="62">
      <c r="A62" s="5" t="inlineStr">
        <is>
          <t>Guest (QR)</t>
        </is>
      </c>
      <c r="B62" s="6" t="inlineStr">
        <is>
          <t>Bill</t>
        </is>
      </c>
      <c r="C62" s="6" t="inlineStr">
        <is>
          <t>/?b=&lt;bill token&gt;</t>
        </is>
      </c>
      <c r="D62" s="6" t="inlineStr">
        <is>
          <t>Guest (phone, no sign-in)</t>
        </is>
      </c>
      <c r="E62" s="7" t="inlineStr">
        <is>
          <t>The guest's own bill, opened by the QR printed on it.</t>
        </is>
      </c>
      <c r="F62" s="6" t="inlineStr">
        <is>
          <t>GUEST</t>
        </is>
      </c>
      <c r="G62" s="8">
        <f>IF($F62="(none - every role)","All",IF($F62="DEV","Dev build",IF($F62="GUEST","n/a - guest",IFERROR(IF(INDEX('Permission matrix'!$B$2:$J$56,MATCH($F62,'Permission matrix'!$A$2:$A$56,0),MATCH(G$1,'Permission matrix'!$B$1:$J$1,0))=1,"Yes","-"),"?"))))</f>
        <v/>
      </c>
      <c r="H62" s="8">
        <f>IF($F62="(none - every role)","All",IF($F62="DEV","Dev build",IF($F62="GUEST","n/a - guest",IFERROR(IF(INDEX('Permission matrix'!$B$2:$J$56,MATCH($F62,'Permission matrix'!$A$2:$A$56,0),MATCH(H$1,'Permission matrix'!$B$1:$J$1,0))=1,"Yes","-"),"?"))))</f>
        <v/>
      </c>
      <c r="I62" s="8">
        <f>IF($F62="(none - every role)","All",IF($F62="DEV","Dev build",IF($F62="GUEST","n/a - guest",IFERROR(IF(INDEX('Permission matrix'!$B$2:$J$56,MATCH($F62,'Permission matrix'!$A$2:$A$56,0),MATCH(I$1,'Permission matrix'!$B$1:$J$1,0))=1,"Yes","-"),"?"))))</f>
        <v/>
      </c>
      <c r="J62" s="8">
        <f>IF($F62="(none - every role)","All",IF($F62="DEV","Dev build",IF($F62="GUEST","n/a - guest",IFERROR(IF(INDEX('Permission matrix'!$B$2:$J$56,MATCH($F62,'Permission matrix'!$A$2:$A$56,0),MATCH(J$1,'Permission matrix'!$B$1:$J$1,0))=1,"Yes","-"),"?"))))</f>
        <v/>
      </c>
      <c r="K62" s="8">
        <f>IF($F62="(none - every role)","All",IF($F62="DEV","Dev build",IF($F62="GUEST","n/a - guest",IFERROR(IF(INDEX('Permission matrix'!$B$2:$J$56,MATCH($F62,'Permission matrix'!$A$2:$A$56,0),MATCH(K$1,'Permission matrix'!$B$1:$J$1,0))=1,"Yes","-"),"?"))))</f>
        <v/>
      </c>
      <c r="L62" s="8">
        <f>IF($F62="(none - every role)","All",IF($F62="DEV","Dev build",IF($F62="GUEST","n/a - guest",IFERROR(IF(INDEX('Permission matrix'!$B$2:$J$56,MATCH($F62,'Permission matrix'!$A$2:$A$56,0),MATCH(L$1,'Permission matrix'!$B$1:$J$1,0))=1,"Yes","-"),"?"))))</f>
        <v/>
      </c>
      <c r="M62" s="8">
        <f>IF($F62="(none - every role)","All",IF($F62="DEV","Dev build",IF($F62="GUEST","n/a - guest",IFERROR(IF(INDEX('Permission matrix'!$B$2:$J$56,MATCH($F62,'Permission matrix'!$A$2:$A$56,0),MATCH(M$1,'Permission matrix'!$B$1:$J$1,0))=1,"Yes","-"),"?"))))</f>
        <v/>
      </c>
      <c r="N62" s="8">
        <f>IF($F62="(none - every role)","All",IF($F62="DEV","Dev build",IF($F62="GUEST","n/a - guest",IFERROR(IF(INDEX('Permission matrix'!$B$2:$J$56,MATCH($F62,'Permission matrix'!$A$2:$A$56,0),MATCH(N$1,'Permission matrix'!$B$1:$J$1,0))=1,"Yes","-"),"?"))))</f>
        <v/>
      </c>
      <c r="O62" s="8">
        <f>IF($F62="(none - every role)","All",IF($F62="DEV","Dev build",IF($F62="GUEST","n/a - guest",IFERROR(IF(INDEX('Permission matrix'!$B$2:$J$56,MATCH($F62,'Permission matrix'!$A$2:$A$56,0),MATCH(O$1,'Permission matrix'!$B$1:$J$1,0))=1,"Yes","-"),"?"))))</f>
        <v/>
      </c>
    </row>
    <row r="63">
      <c r="A63" s="5" t="inlineStr">
        <is>
          <t>Guest (QR)</t>
        </is>
      </c>
      <c r="B63" s="6" t="inlineStr">
        <is>
          <t>Feedback</t>
        </is>
      </c>
      <c r="C63" s="6" t="inlineStr">
        <is>
          <t>/?b=&lt;bill token&gt;</t>
        </is>
      </c>
      <c r="D63" s="6" t="inlineStr">
        <is>
          <t>Guest (phone, no sign-in)</t>
        </is>
      </c>
      <c r="E63" s="7" t="inlineStr">
        <is>
          <t>Three questions about that visit. Needs the bill token, so staff cannot rate their own tables.</t>
        </is>
      </c>
      <c r="F63" s="6" t="inlineStr">
        <is>
          <t>GUEST</t>
        </is>
      </c>
      <c r="G63" s="8">
        <f>IF($F63="(none - every role)","All",IF($F63="DEV","Dev build",IF($F63="GUEST","n/a - guest",IFERROR(IF(INDEX('Permission matrix'!$B$2:$J$56,MATCH($F63,'Permission matrix'!$A$2:$A$56,0),MATCH(G$1,'Permission matrix'!$B$1:$J$1,0))=1,"Yes","-"),"?"))))</f>
        <v/>
      </c>
      <c r="H63" s="8">
        <f>IF($F63="(none - every role)","All",IF($F63="DEV","Dev build",IF($F63="GUEST","n/a - guest",IFERROR(IF(INDEX('Permission matrix'!$B$2:$J$56,MATCH($F63,'Permission matrix'!$A$2:$A$56,0),MATCH(H$1,'Permission matrix'!$B$1:$J$1,0))=1,"Yes","-"),"?"))))</f>
        <v/>
      </c>
      <c r="I63" s="8">
        <f>IF($F63="(none - every role)","All",IF($F63="DEV","Dev build",IF($F63="GUEST","n/a - guest",IFERROR(IF(INDEX('Permission matrix'!$B$2:$J$56,MATCH($F63,'Permission matrix'!$A$2:$A$56,0),MATCH(I$1,'Permission matrix'!$B$1:$J$1,0))=1,"Yes","-"),"?"))))</f>
        <v/>
      </c>
      <c r="J63" s="8">
        <f>IF($F63="(none - every role)","All",IF($F63="DEV","Dev build",IF($F63="GUEST","n/a - guest",IFERROR(IF(INDEX('Permission matrix'!$B$2:$J$56,MATCH($F63,'Permission matrix'!$A$2:$A$56,0),MATCH(J$1,'Permission matrix'!$B$1:$J$1,0))=1,"Yes","-"),"?"))))</f>
        <v/>
      </c>
      <c r="K63" s="8">
        <f>IF($F63="(none - every role)","All",IF($F63="DEV","Dev build",IF($F63="GUEST","n/a - guest",IFERROR(IF(INDEX('Permission matrix'!$B$2:$J$56,MATCH($F63,'Permission matrix'!$A$2:$A$56,0),MATCH(K$1,'Permission matrix'!$B$1:$J$1,0))=1,"Yes","-"),"?"))))</f>
        <v/>
      </c>
      <c r="L63" s="8">
        <f>IF($F63="(none - every role)","All",IF($F63="DEV","Dev build",IF($F63="GUEST","n/a - guest",IFERROR(IF(INDEX('Permission matrix'!$B$2:$J$56,MATCH($F63,'Permission matrix'!$A$2:$A$56,0),MATCH(L$1,'Permission matrix'!$B$1:$J$1,0))=1,"Yes","-"),"?"))))</f>
        <v/>
      </c>
      <c r="M63" s="8">
        <f>IF($F63="(none - every role)","All",IF($F63="DEV","Dev build",IF($F63="GUEST","n/a - guest",IFERROR(IF(INDEX('Permission matrix'!$B$2:$J$56,MATCH($F63,'Permission matrix'!$A$2:$A$56,0),MATCH(M$1,'Permission matrix'!$B$1:$J$1,0))=1,"Yes","-"),"?"))))</f>
        <v/>
      </c>
      <c r="N63" s="8">
        <f>IF($F63="(none - every role)","All",IF($F63="DEV","Dev build",IF($F63="GUEST","n/a - guest",IFERROR(IF(INDEX('Permission matrix'!$B$2:$J$56,MATCH($F63,'Permission matrix'!$A$2:$A$56,0),MATCH(N$1,'Permission matrix'!$B$1:$J$1,0))=1,"Yes","-"),"?"))))</f>
        <v/>
      </c>
      <c r="O63" s="8">
        <f>IF($F63="(none - every role)","All",IF($F63="DEV","Dev build",IF($F63="GUEST","n/a - guest",IFERROR(IF(INDEX('Permission matrix'!$B$2:$J$56,MATCH($F63,'Permission matrix'!$A$2:$A$56,0),MATCH(O$1,'Permission matrix'!$B$1:$J$1,0))=1,"Yes","-"),"?"))))</f>
        <v/>
      </c>
    </row>
  </sheetData>
  <autoFilter ref="A1:O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9" t="inlineStr">
        <is>
          <t>Permission code</t>
        </is>
      </c>
      <c r="B1" s="9" t="inlineStr">
        <is>
          <t>Owner</t>
        </is>
      </c>
      <c r="C1" s="9" t="inlineStr">
        <is>
          <t>Administrator</t>
        </is>
      </c>
      <c r="D1" s="9" t="inlineStr">
        <is>
          <t>Manager</t>
        </is>
      </c>
      <c r="E1" s="9" t="inlineStr">
        <is>
          <t>Chef</t>
        </is>
      </c>
      <c r="F1" s="9" t="inlineStr">
        <is>
          <t>Store Manager</t>
        </is>
      </c>
      <c r="G1" s="9" t="inlineStr">
        <is>
          <t>Accountant</t>
        </is>
      </c>
      <c r="H1" s="9" t="inlineStr">
        <is>
          <t>Kitchen Staff</t>
        </is>
      </c>
      <c r="I1" s="9" t="inlineStr">
        <is>
          <t>Waiter</t>
        </is>
      </c>
      <c r="J1" s="9" t="inlineStr">
        <is>
          <t>Cleaner</t>
        </is>
      </c>
    </row>
    <row r="2">
      <c r="A2" s="10" t="inlineStr">
        <is>
          <t>employee.view</t>
        </is>
      </c>
      <c r="B2" s="11" t="n">
        <v>1</v>
      </c>
      <c r="C2" s="11" t="n">
        <v>1</v>
      </c>
      <c r="D2" s="11" t="n">
        <v>1</v>
      </c>
      <c r="E2" s="11" t="n">
        <v>1</v>
      </c>
      <c r="F2" s="11" t="n">
        <v>0</v>
      </c>
      <c r="G2" s="11" t="n">
        <v>1</v>
      </c>
      <c r="H2" s="11" t="n">
        <v>0</v>
      </c>
      <c r="I2" s="11" t="n">
        <v>0</v>
      </c>
      <c r="J2" s="11" t="n">
        <v>0</v>
      </c>
    </row>
    <row r="3">
      <c r="A3" s="10" t="inlineStr">
        <is>
          <t>employee.create</t>
        </is>
      </c>
      <c r="B3" s="11" t="n">
        <v>1</v>
      </c>
      <c r="C3" s="11" t="n">
        <v>1</v>
      </c>
      <c r="D3" s="11" t="n">
        <v>1</v>
      </c>
      <c r="E3" s="11" t="n">
        <v>0</v>
      </c>
      <c r="F3" s="11" t="n">
        <v>0</v>
      </c>
      <c r="G3" s="11" t="n">
        <v>0</v>
      </c>
      <c r="H3" s="11" t="n">
        <v>0</v>
      </c>
      <c r="I3" s="11" t="n">
        <v>0</v>
      </c>
      <c r="J3" s="11" t="n">
        <v>0</v>
      </c>
    </row>
    <row r="4">
      <c r="A4" s="10" t="inlineStr">
        <is>
          <t>employee.edit</t>
        </is>
      </c>
      <c r="B4" s="11" t="n">
        <v>1</v>
      </c>
      <c r="C4" s="11" t="n">
        <v>1</v>
      </c>
      <c r="D4" s="11" t="n">
        <v>1</v>
      </c>
      <c r="E4" s="11" t="n">
        <v>0</v>
      </c>
      <c r="F4" s="11" t="n">
        <v>0</v>
      </c>
      <c r="G4" s="11" t="n">
        <v>0</v>
      </c>
      <c r="H4" s="11" t="n">
        <v>0</v>
      </c>
      <c r="I4" s="11" t="n">
        <v>0</v>
      </c>
      <c r="J4" s="11" t="n">
        <v>0</v>
      </c>
    </row>
    <row r="5">
      <c r="A5" s="10" t="inlineStr">
        <is>
          <t>employee.deactivate</t>
        </is>
      </c>
      <c r="B5" s="11" t="n">
        <v>1</v>
      </c>
      <c r="C5" s="11" t="n">
        <v>1</v>
      </c>
      <c r="D5" s="11" t="n">
        <v>1</v>
      </c>
      <c r="E5" s="11" t="n">
        <v>0</v>
      </c>
      <c r="F5" s="11" t="n">
        <v>0</v>
      </c>
      <c r="G5" s="11" t="n">
        <v>0</v>
      </c>
      <c r="H5" s="11" t="n">
        <v>0</v>
      </c>
      <c r="I5" s="11" t="n">
        <v>0</v>
      </c>
      <c r="J5" s="11" t="n">
        <v>0</v>
      </c>
    </row>
    <row r="6">
      <c r="A6" s="10" t="inlineStr">
        <is>
          <t>employee.role.assign</t>
        </is>
      </c>
      <c r="B6" s="11" t="n">
        <v>1</v>
      </c>
      <c r="C6" s="11" t="n">
        <v>1</v>
      </c>
      <c r="D6" s="11" t="n">
        <v>1</v>
      </c>
      <c r="E6" s="11" t="n">
        <v>0</v>
      </c>
      <c r="F6" s="11" t="n">
        <v>0</v>
      </c>
      <c r="G6" s="11" t="n">
        <v>0</v>
      </c>
      <c r="H6" s="11" t="n">
        <v>0</v>
      </c>
      <c r="I6" s="11" t="n">
        <v>0</v>
      </c>
      <c r="J6" s="11" t="n">
        <v>0</v>
      </c>
    </row>
    <row r="7">
      <c r="A7" s="10" t="inlineStr">
        <is>
          <t>employee.password.reset</t>
        </is>
      </c>
      <c r="B7" s="11" t="n">
        <v>1</v>
      </c>
      <c r="C7" s="11" t="n">
        <v>1</v>
      </c>
      <c r="D7" s="11" t="n">
        <v>1</v>
      </c>
      <c r="E7" s="11" t="n">
        <v>0</v>
      </c>
      <c r="F7" s="11" t="n">
        <v>0</v>
      </c>
      <c r="G7" s="11" t="n">
        <v>0</v>
      </c>
      <c r="H7" s="11" t="n">
        <v>0</v>
      </c>
      <c r="I7" s="11" t="n">
        <v>0</v>
      </c>
      <c r="J7" s="11" t="n">
        <v>0</v>
      </c>
    </row>
    <row r="8">
      <c r="A8" s="10" t="inlineStr">
        <is>
          <t>role.view</t>
        </is>
      </c>
      <c r="B8" s="11" t="n">
        <v>1</v>
      </c>
      <c r="C8" s="11" t="n">
        <v>1</v>
      </c>
      <c r="D8" s="11" t="n">
        <v>1</v>
      </c>
      <c r="E8" s="11" t="n">
        <v>0</v>
      </c>
      <c r="F8" s="11" t="n">
        <v>0</v>
      </c>
      <c r="G8" s="11" t="n">
        <v>0</v>
      </c>
      <c r="H8" s="11" t="n">
        <v>0</v>
      </c>
      <c r="I8" s="11" t="n">
        <v>0</v>
      </c>
      <c r="J8" s="11" t="n">
        <v>0</v>
      </c>
    </row>
    <row r="9">
      <c r="A9" s="10" t="inlineStr">
        <is>
          <t>compliance.view</t>
        </is>
      </c>
      <c r="B9" s="11" t="n">
        <v>1</v>
      </c>
      <c r="C9" s="11" t="n">
        <v>1</v>
      </c>
      <c r="D9" s="11" t="n">
        <v>1</v>
      </c>
      <c r="E9" s="11" t="n">
        <v>0</v>
      </c>
      <c r="F9" s="11" t="n">
        <v>0</v>
      </c>
      <c r="G9" s="11" t="n">
        <v>1</v>
      </c>
      <c r="H9" s="11" t="n">
        <v>0</v>
      </c>
      <c r="I9" s="11" t="n">
        <v>0</v>
      </c>
      <c r="J9" s="11" t="n">
        <v>0</v>
      </c>
    </row>
    <row r="10">
      <c r="A10" s="10" t="inlineStr">
        <is>
          <t>compliance.act</t>
        </is>
      </c>
      <c r="B10" s="11" t="n">
        <v>1</v>
      </c>
      <c r="C10" s="11" t="n">
        <v>1</v>
      </c>
      <c r="D10" s="11" t="n">
        <v>0</v>
      </c>
      <c r="E10" s="11" t="n">
        <v>0</v>
      </c>
      <c r="F10" s="11" t="n">
        <v>0</v>
      </c>
      <c r="G10" s="11" t="n">
        <v>0</v>
      </c>
      <c r="H10" s="11" t="n">
        <v>0</v>
      </c>
      <c r="I10" s="11" t="n">
        <v>0</v>
      </c>
      <c r="J10" s="11" t="n">
        <v>0</v>
      </c>
    </row>
    <row r="11">
      <c r="A11" s="10" t="inlineStr">
        <is>
          <t>restaurant.configure</t>
        </is>
      </c>
      <c r="B11" s="11" t="n">
        <v>1</v>
      </c>
      <c r="C11" s="11" t="n">
        <v>1</v>
      </c>
      <c r="D11" s="11" t="n">
        <v>0</v>
      </c>
      <c r="E11" s="11" t="n">
        <v>0</v>
      </c>
      <c r="F11" s="11" t="n">
        <v>0</v>
      </c>
      <c r="G11" s="11" t="n">
        <v>0</v>
      </c>
      <c r="H11" s="11" t="n">
        <v>0</v>
      </c>
      <c r="I11" s="11" t="n">
        <v>0</v>
      </c>
      <c r="J11" s="11" t="n">
        <v>0</v>
      </c>
    </row>
    <row r="12">
      <c r="A12" s="10" t="inlineStr">
        <is>
          <t>menu.view</t>
        </is>
      </c>
      <c r="B12" s="11" t="n">
        <v>1</v>
      </c>
      <c r="C12" s="11" t="n">
        <v>1</v>
      </c>
      <c r="D12" s="11" t="n">
        <v>1</v>
      </c>
      <c r="E12" s="11" t="n">
        <v>1</v>
      </c>
      <c r="F12" s="11" t="n">
        <v>0</v>
      </c>
      <c r="G12" s="11" t="n">
        <v>0</v>
      </c>
      <c r="H12" s="11" t="n">
        <v>0</v>
      </c>
      <c r="I12" s="11" t="n">
        <v>1</v>
      </c>
      <c r="J12" s="11" t="n">
        <v>0</v>
      </c>
    </row>
    <row r="13">
      <c r="A13" s="10" t="inlineStr">
        <is>
          <t>menu.manage</t>
        </is>
      </c>
      <c r="B13" s="11" t="n">
        <v>1</v>
      </c>
      <c r="C13" s="11" t="n">
        <v>0</v>
      </c>
      <c r="D13" s="11" t="n">
        <v>1</v>
      </c>
      <c r="E13" s="11" t="n">
        <v>0</v>
      </c>
      <c r="F13" s="11" t="n">
        <v>0</v>
      </c>
      <c r="G13" s="11" t="n">
        <v>0</v>
      </c>
      <c r="H13" s="11" t="n">
        <v>0</v>
      </c>
      <c r="I13" s="11" t="n">
        <v>0</v>
      </c>
      <c r="J13" s="11" t="n">
        <v>0</v>
      </c>
    </row>
    <row r="14">
      <c r="A14" s="10" t="inlineStr">
        <is>
          <t>menu.price</t>
        </is>
      </c>
      <c r="B14" s="11" t="n">
        <v>1</v>
      </c>
      <c r="C14" s="11" t="n">
        <v>0</v>
      </c>
      <c r="D14" s="11" t="n">
        <v>0</v>
      </c>
      <c r="E14" s="11" t="n">
        <v>0</v>
      </c>
      <c r="F14" s="11" t="n">
        <v>0</v>
      </c>
      <c r="G14" s="11" t="n">
        <v>0</v>
      </c>
      <c r="H14" s="11" t="n">
        <v>0</v>
      </c>
      <c r="I14" s="11" t="n">
        <v>0</v>
      </c>
      <c r="J14" s="11" t="n">
        <v>0</v>
      </c>
    </row>
    <row r="15">
      <c r="A15" s="10" t="inlineStr">
        <is>
          <t>recipe.view</t>
        </is>
      </c>
      <c r="B15" s="11" t="n">
        <v>1</v>
      </c>
      <c r="C15" s="11" t="n">
        <v>0</v>
      </c>
      <c r="D15" s="11" t="n">
        <v>1</v>
      </c>
      <c r="E15" s="11" t="n">
        <v>1</v>
      </c>
      <c r="F15" s="11" t="n">
        <v>1</v>
      </c>
      <c r="G15" s="11" t="n">
        <v>0</v>
      </c>
      <c r="H15" s="11" t="n">
        <v>1</v>
      </c>
      <c r="I15" s="11" t="n">
        <v>0</v>
      </c>
      <c r="J15" s="11" t="n">
        <v>0</v>
      </c>
    </row>
    <row r="16">
      <c r="A16" s="10" t="inlineStr">
        <is>
          <t>recipe.manage</t>
        </is>
      </c>
      <c r="B16" s="11" t="n">
        <v>1</v>
      </c>
      <c r="C16" s="11" t="n">
        <v>0</v>
      </c>
      <c r="D16" s="11" t="n">
        <v>0</v>
      </c>
      <c r="E16" s="11" t="n">
        <v>1</v>
      </c>
      <c r="F16" s="11" t="n">
        <v>0</v>
      </c>
      <c r="G16" s="11" t="n">
        <v>0</v>
      </c>
      <c r="H16" s="11" t="n">
        <v>0</v>
      </c>
      <c r="I16" s="11" t="n">
        <v>0</v>
      </c>
      <c r="J16" s="11" t="n">
        <v>0</v>
      </c>
    </row>
    <row r="17">
      <c r="A17" s="10" t="inlineStr">
        <is>
          <t>cost.view</t>
        </is>
      </c>
      <c r="B17" s="11" t="n">
        <v>1</v>
      </c>
      <c r="C17" s="11" t="n">
        <v>0</v>
      </c>
      <c r="D17" s="11" t="n">
        <v>1</v>
      </c>
      <c r="E17" s="11" t="n">
        <v>0</v>
      </c>
      <c r="F17" s="11" t="n">
        <v>0</v>
      </c>
      <c r="G17" s="11" t="n">
        <v>0</v>
      </c>
      <c r="H17" s="11" t="n">
        <v>0</v>
      </c>
      <c r="I17" s="11" t="n">
        <v>0</v>
      </c>
      <c r="J17" s="11" t="n">
        <v>0</v>
      </c>
    </row>
    <row r="18">
      <c r="A18" s="10" t="inlineStr">
        <is>
          <t>stock.view</t>
        </is>
      </c>
      <c r="B18" s="11" t="n">
        <v>1</v>
      </c>
      <c r="C18" s="11" t="n">
        <v>1</v>
      </c>
      <c r="D18" s="11" t="n">
        <v>1</v>
      </c>
      <c r="E18" s="11" t="n">
        <v>1</v>
      </c>
      <c r="F18" s="11" t="n">
        <v>1</v>
      </c>
      <c r="G18" s="11" t="n">
        <v>0</v>
      </c>
      <c r="H18" s="11" t="n">
        <v>1</v>
      </c>
      <c r="I18" s="11" t="n">
        <v>0</v>
      </c>
      <c r="J18" s="11" t="n">
        <v>0</v>
      </c>
    </row>
    <row r="19">
      <c r="A19" s="10" t="inlineStr">
        <is>
          <t>stock.receive</t>
        </is>
      </c>
      <c r="B19" s="11" t="n">
        <v>1</v>
      </c>
      <c r="C19" s="11" t="n">
        <v>1</v>
      </c>
      <c r="D19" s="11" t="n">
        <v>1</v>
      </c>
      <c r="E19" s="11" t="n">
        <v>0</v>
      </c>
      <c r="F19" s="11" t="n">
        <v>1</v>
      </c>
      <c r="G19" s="11" t="n">
        <v>0</v>
      </c>
      <c r="H19" s="11" t="n">
        <v>0</v>
      </c>
      <c r="I19" s="11" t="n">
        <v>0</v>
      </c>
      <c r="J19" s="11" t="n">
        <v>0</v>
      </c>
    </row>
    <row r="20">
      <c r="A20" s="10" t="inlineStr">
        <is>
          <t>stock.produce</t>
        </is>
      </c>
      <c r="B20" s="11" t="n">
        <v>1</v>
      </c>
      <c r="C20" s="11" t="n">
        <v>1</v>
      </c>
      <c r="D20" s="11" t="n">
        <v>1</v>
      </c>
      <c r="E20" s="11" t="n">
        <v>1</v>
      </c>
      <c r="F20" s="11" t="n">
        <v>1</v>
      </c>
      <c r="G20" s="11" t="n">
        <v>0</v>
      </c>
      <c r="H20" s="11" t="n">
        <v>0</v>
      </c>
      <c r="I20" s="11" t="n">
        <v>0</v>
      </c>
      <c r="J20" s="11" t="n">
        <v>0</v>
      </c>
    </row>
    <row r="21">
      <c r="A21" s="10" t="inlineStr">
        <is>
          <t>stock.adjust</t>
        </is>
      </c>
      <c r="B21" s="11" t="n">
        <v>1</v>
      </c>
      <c r="C21" s="11" t="n">
        <v>1</v>
      </c>
      <c r="D21" s="11" t="n">
        <v>1</v>
      </c>
      <c r="E21" s="11" t="n">
        <v>0</v>
      </c>
      <c r="F21" s="11" t="n">
        <v>1</v>
      </c>
      <c r="G21" s="11" t="n">
        <v>0</v>
      </c>
      <c r="H21" s="11" t="n">
        <v>0</v>
      </c>
      <c r="I21" s="11" t="n">
        <v>0</v>
      </c>
      <c r="J21" s="11" t="n">
        <v>0</v>
      </c>
    </row>
    <row r="22">
      <c r="A22" s="10" t="inlineStr">
        <is>
          <t>supplier.view</t>
        </is>
      </c>
      <c r="B22" s="11" t="n">
        <v>1</v>
      </c>
      <c r="C22" s="11" t="n">
        <v>0</v>
      </c>
      <c r="D22" s="11" t="n">
        <v>1</v>
      </c>
      <c r="E22" s="11" t="n">
        <v>0</v>
      </c>
      <c r="F22" s="11" t="n">
        <v>1</v>
      </c>
      <c r="G22" s="11" t="n">
        <v>1</v>
      </c>
      <c r="H22" s="11" t="n">
        <v>0</v>
      </c>
      <c r="I22" s="11" t="n">
        <v>0</v>
      </c>
      <c r="J22" s="11" t="n">
        <v>0</v>
      </c>
    </row>
    <row r="23">
      <c r="A23" s="10" t="inlineStr">
        <is>
          <t>supplier.manage</t>
        </is>
      </c>
      <c r="B23" s="11" t="n">
        <v>1</v>
      </c>
      <c r="C23" s="11" t="n">
        <v>0</v>
      </c>
      <c r="D23" s="11" t="n">
        <v>1</v>
      </c>
      <c r="E23" s="11" t="n">
        <v>0</v>
      </c>
      <c r="F23" s="11" t="n">
        <v>1</v>
      </c>
      <c r="G23" s="11" t="n">
        <v>0</v>
      </c>
      <c r="H23" s="11" t="n">
        <v>0</v>
      </c>
      <c r="I23" s="11" t="n">
        <v>0</v>
      </c>
      <c r="J23" s="11" t="n">
        <v>0</v>
      </c>
    </row>
    <row r="24">
      <c r="A24" s="10" t="inlineStr">
        <is>
          <t>purchase.manage</t>
        </is>
      </c>
      <c r="B24" s="11" t="n">
        <v>1</v>
      </c>
      <c r="C24" s="11" t="n">
        <v>0</v>
      </c>
      <c r="D24" s="11" t="n">
        <v>1</v>
      </c>
      <c r="E24" s="11" t="n">
        <v>0</v>
      </c>
      <c r="F24" s="11" t="n">
        <v>1</v>
      </c>
      <c r="G24" s="11" t="n">
        <v>1</v>
      </c>
      <c r="H24" s="11" t="n">
        <v>0</v>
      </c>
      <c r="I24" s="11" t="n">
        <v>0</v>
      </c>
      <c r="J24" s="11" t="n">
        <v>0</v>
      </c>
    </row>
    <row r="25">
      <c r="A25" s="10" t="inlineStr">
        <is>
          <t>stock.count</t>
        </is>
      </c>
      <c r="B25" s="11" t="n">
        <v>1</v>
      </c>
      <c r="C25" s="11" t="n">
        <v>1</v>
      </c>
      <c r="D25" s="11" t="n">
        <v>1</v>
      </c>
      <c r="E25" s="11" t="n">
        <v>0</v>
      </c>
      <c r="F25" s="11" t="n">
        <v>1</v>
      </c>
      <c r="G25" s="11" t="n">
        <v>0</v>
      </c>
      <c r="H25" s="11" t="n">
        <v>0</v>
      </c>
      <c r="I25" s="11" t="n">
        <v>0</v>
      </c>
      <c r="J25" s="11" t="n">
        <v>0</v>
      </c>
    </row>
    <row r="26">
      <c r="A26" s="10" t="inlineStr">
        <is>
          <t>order.view</t>
        </is>
      </c>
      <c r="B26" s="11" t="n">
        <v>1</v>
      </c>
      <c r="C26" s="11" t="n">
        <v>0</v>
      </c>
      <c r="D26" s="11" t="n">
        <v>1</v>
      </c>
      <c r="E26" s="11" t="n">
        <v>0</v>
      </c>
      <c r="F26" s="11" t="n">
        <v>0</v>
      </c>
      <c r="G26" s="11" t="n">
        <v>1</v>
      </c>
      <c r="H26" s="11" t="n">
        <v>0</v>
      </c>
      <c r="I26" s="11" t="n">
        <v>1</v>
      </c>
      <c r="J26" s="11" t="n">
        <v>0</v>
      </c>
    </row>
    <row r="27">
      <c r="A27" s="10" t="inlineStr">
        <is>
          <t>order.create</t>
        </is>
      </c>
      <c r="B27" s="11" t="n">
        <v>1</v>
      </c>
      <c r="C27" s="11" t="n">
        <v>0</v>
      </c>
      <c r="D27" s="11" t="n">
        <v>1</v>
      </c>
      <c r="E27" s="11" t="n">
        <v>0</v>
      </c>
      <c r="F27" s="11" t="n">
        <v>0</v>
      </c>
      <c r="G27" s="11" t="n">
        <v>0</v>
      </c>
      <c r="H27" s="11" t="n">
        <v>0</v>
      </c>
      <c r="I27" s="11" t="n">
        <v>1</v>
      </c>
      <c r="J27" s="11" t="n">
        <v>0</v>
      </c>
    </row>
    <row r="28">
      <c r="A28" s="10" t="inlineStr">
        <is>
          <t>order.modify</t>
        </is>
      </c>
      <c r="B28" s="11" t="n">
        <v>1</v>
      </c>
      <c r="C28" s="11" t="n">
        <v>0</v>
      </c>
      <c r="D28" s="11" t="n">
        <v>1</v>
      </c>
      <c r="E28" s="11" t="n">
        <v>0</v>
      </c>
      <c r="F28" s="11" t="n">
        <v>0</v>
      </c>
      <c r="G28" s="11" t="n">
        <v>0</v>
      </c>
      <c r="H28" s="11" t="n">
        <v>0</v>
      </c>
      <c r="I28" s="11" t="n">
        <v>1</v>
      </c>
      <c r="J28" s="11" t="n">
        <v>0</v>
      </c>
    </row>
    <row r="29">
      <c r="A29" s="10" t="inlineStr">
        <is>
          <t>order.settle</t>
        </is>
      </c>
      <c r="B29" s="11" t="n">
        <v>1</v>
      </c>
      <c r="C29" s="11" t="n">
        <v>0</v>
      </c>
      <c r="D29" s="11" t="n">
        <v>1</v>
      </c>
      <c r="E29" s="11" t="n">
        <v>0</v>
      </c>
      <c r="F29" s="11" t="n">
        <v>0</v>
      </c>
      <c r="G29" s="11" t="n">
        <v>0</v>
      </c>
      <c r="H29" s="11" t="n">
        <v>0</v>
      </c>
      <c r="I29" s="11" t="n">
        <v>1</v>
      </c>
      <c r="J29" s="11" t="n">
        <v>0</v>
      </c>
    </row>
    <row r="30">
      <c r="A30" s="10" t="inlineStr">
        <is>
          <t>order.void</t>
        </is>
      </c>
      <c r="B30" s="11" t="n">
        <v>1</v>
      </c>
      <c r="C30" s="11" t="n">
        <v>0</v>
      </c>
      <c r="D30" s="11" t="n">
        <v>1</v>
      </c>
      <c r="E30" s="11" t="n">
        <v>0</v>
      </c>
      <c r="F30" s="11" t="n">
        <v>0</v>
      </c>
      <c r="G30" s="11" t="n">
        <v>0</v>
      </c>
      <c r="H30" s="11" t="n">
        <v>0</v>
      </c>
      <c r="I30" s="11" t="n">
        <v>0</v>
      </c>
      <c r="J30" s="11" t="n">
        <v>0</v>
      </c>
    </row>
    <row r="31">
      <c r="A31" s="10" t="inlineStr">
        <is>
          <t>order.discount</t>
        </is>
      </c>
      <c r="B31" s="11" t="n">
        <v>1</v>
      </c>
      <c r="C31" s="11" t="n">
        <v>0</v>
      </c>
      <c r="D31" s="11" t="n">
        <v>1</v>
      </c>
      <c r="E31" s="11" t="n">
        <v>0</v>
      </c>
      <c r="F31" s="11" t="n">
        <v>0</v>
      </c>
      <c r="G31" s="11" t="n">
        <v>0</v>
      </c>
      <c r="H31" s="11" t="n">
        <v>0</v>
      </c>
      <c r="I31" s="11" t="n">
        <v>0</v>
      </c>
      <c r="J31" s="11" t="n">
        <v>0</v>
      </c>
    </row>
    <row r="32">
      <c r="A32" s="10" t="inlineStr">
        <is>
          <t>cash.manage</t>
        </is>
      </c>
      <c r="B32" s="11" t="n">
        <v>1</v>
      </c>
      <c r="C32" s="11" t="n">
        <v>0</v>
      </c>
      <c r="D32" s="11" t="n">
        <v>1</v>
      </c>
      <c r="E32" s="11" t="n">
        <v>0</v>
      </c>
      <c r="F32" s="11" t="n">
        <v>0</v>
      </c>
      <c r="G32" s="11" t="n">
        <v>0</v>
      </c>
      <c r="H32" s="11" t="n">
        <v>0</v>
      </c>
      <c r="I32" s="11" t="n">
        <v>0</v>
      </c>
      <c r="J32" s="11" t="n">
        <v>0</v>
      </c>
    </row>
    <row r="33">
      <c r="A33" s="10" t="inlineStr">
        <is>
          <t>floor.manage</t>
        </is>
      </c>
      <c r="B33" s="11" t="n">
        <v>1</v>
      </c>
      <c r="C33" s="11" t="n">
        <v>0</v>
      </c>
      <c r="D33" s="11" t="n">
        <v>1</v>
      </c>
      <c r="E33" s="11" t="n">
        <v>0</v>
      </c>
      <c r="F33" s="11" t="n">
        <v>0</v>
      </c>
      <c r="G33" s="11" t="n">
        <v>0</v>
      </c>
      <c r="H33" s="11" t="n">
        <v>0</v>
      </c>
      <c r="I33" s="11" t="n">
        <v>0</v>
      </c>
      <c r="J33" s="11" t="n">
        <v>0</v>
      </c>
    </row>
    <row r="34">
      <c r="A34" s="10" t="inlineStr">
        <is>
          <t>order.assign</t>
        </is>
      </c>
      <c r="B34" s="11" t="n">
        <v>1</v>
      </c>
      <c r="C34" s="11" t="n">
        <v>0</v>
      </c>
      <c r="D34" s="11" t="n">
        <v>1</v>
      </c>
      <c r="E34" s="11" t="n">
        <v>0</v>
      </c>
      <c r="F34" s="11" t="n">
        <v>0</v>
      </c>
      <c r="G34" s="11" t="n">
        <v>0</v>
      </c>
      <c r="H34" s="11" t="n">
        <v>0</v>
      </c>
      <c r="I34" s="11" t="n">
        <v>0</v>
      </c>
      <c r="J34" s="11" t="n">
        <v>0</v>
      </c>
    </row>
    <row r="35">
      <c r="A35" s="10" t="inlineStr">
        <is>
          <t>kot.view</t>
        </is>
      </c>
      <c r="B35" s="11" t="n">
        <v>1</v>
      </c>
      <c r="C35" s="11" t="n">
        <v>0</v>
      </c>
      <c r="D35" s="11" t="n">
        <v>1</v>
      </c>
      <c r="E35" s="11" t="n">
        <v>1</v>
      </c>
      <c r="F35" s="11" t="n">
        <v>0</v>
      </c>
      <c r="G35" s="11" t="n">
        <v>0</v>
      </c>
      <c r="H35" s="11" t="n">
        <v>1</v>
      </c>
      <c r="I35" s="11" t="n">
        <v>1</v>
      </c>
      <c r="J35" s="11" t="n">
        <v>0</v>
      </c>
    </row>
    <row r="36">
      <c r="A36" s="10" t="inlineStr">
        <is>
          <t>kot.update</t>
        </is>
      </c>
      <c r="B36" s="11" t="n">
        <v>1</v>
      </c>
      <c r="C36" s="11" t="n">
        <v>0</v>
      </c>
      <c r="D36" s="11" t="n">
        <v>1</v>
      </c>
      <c r="E36" s="11" t="n">
        <v>1</v>
      </c>
      <c r="F36" s="11" t="n">
        <v>0</v>
      </c>
      <c r="G36" s="11" t="n">
        <v>0</v>
      </c>
      <c r="H36" s="11" t="n">
        <v>1</v>
      </c>
      <c r="I36" s="11" t="n">
        <v>0</v>
      </c>
      <c r="J36" s="11" t="n">
        <v>0</v>
      </c>
    </row>
    <row r="37">
      <c r="A37" s="10" t="inlineStr">
        <is>
          <t>wastage.log</t>
        </is>
      </c>
      <c r="B37" s="11" t="n">
        <v>1</v>
      </c>
      <c r="C37" s="11" t="n">
        <v>0</v>
      </c>
      <c r="D37" s="11" t="n">
        <v>1</v>
      </c>
      <c r="E37" s="11" t="n">
        <v>1</v>
      </c>
      <c r="F37" s="11" t="n">
        <v>1</v>
      </c>
      <c r="G37" s="11" t="n">
        <v>0</v>
      </c>
      <c r="H37" s="11" t="n">
        <v>1</v>
      </c>
      <c r="I37" s="11" t="n">
        <v>0</v>
      </c>
      <c r="J37" s="11" t="n">
        <v>0</v>
      </c>
    </row>
    <row r="38">
      <c r="A38" s="10" t="inlineStr">
        <is>
          <t>wastage.approve</t>
        </is>
      </c>
      <c r="B38" s="11" t="n">
        <v>1</v>
      </c>
      <c r="C38" s="11" t="n">
        <v>0</v>
      </c>
      <c r="D38" s="11" t="n">
        <v>1</v>
      </c>
      <c r="E38" s="11" t="n">
        <v>0</v>
      </c>
      <c r="F38" s="11" t="n">
        <v>1</v>
      </c>
      <c r="G38" s="11" t="n">
        <v>0</v>
      </c>
      <c r="H38" s="11" t="n">
        <v>0</v>
      </c>
      <c r="I38" s="11" t="n">
        <v>0</v>
      </c>
      <c r="J38" s="11" t="n">
        <v>0</v>
      </c>
    </row>
    <row r="39">
      <c r="A39" s="10" t="inlineStr">
        <is>
          <t>customer.view</t>
        </is>
      </c>
      <c r="B39" s="11" t="n">
        <v>1</v>
      </c>
      <c r="C39" s="11" t="n">
        <v>0</v>
      </c>
      <c r="D39" s="11" t="n">
        <v>1</v>
      </c>
      <c r="E39" s="11" t="n">
        <v>0</v>
      </c>
      <c r="F39" s="11" t="n">
        <v>0</v>
      </c>
      <c r="G39" s="11" t="n">
        <v>0</v>
      </c>
      <c r="H39" s="11" t="n">
        <v>0</v>
      </c>
      <c r="I39" s="11" t="n">
        <v>1</v>
      </c>
      <c r="J39" s="11" t="n">
        <v>0</v>
      </c>
    </row>
    <row r="40">
      <c r="A40" s="10" t="inlineStr">
        <is>
          <t>customer.manage</t>
        </is>
      </c>
      <c r="B40" s="11" t="n">
        <v>1</v>
      </c>
      <c r="C40" s="11" t="n">
        <v>0</v>
      </c>
      <c r="D40" s="11" t="n">
        <v>1</v>
      </c>
      <c r="E40" s="11" t="n">
        <v>0</v>
      </c>
      <c r="F40" s="11" t="n">
        <v>0</v>
      </c>
      <c r="G40" s="11" t="n">
        <v>0</v>
      </c>
      <c r="H40" s="11" t="n">
        <v>0</v>
      </c>
      <c r="I40" s="11" t="n">
        <v>0</v>
      </c>
      <c r="J40" s="11" t="n">
        <v>0</v>
      </c>
    </row>
    <row r="41">
      <c r="A41" s="10" t="inlineStr">
        <is>
          <t>feedback.view</t>
        </is>
      </c>
      <c r="B41" s="11" t="n">
        <v>1</v>
      </c>
      <c r="C41" s="11" t="n">
        <v>0</v>
      </c>
      <c r="D41" s="11" t="n">
        <v>1</v>
      </c>
      <c r="E41" s="11" t="n">
        <v>0</v>
      </c>
      <c r="F41" s="11" t="n">
        <v>0</v>
      </c>
      <c r="G41" s="11" t="n">
        <v>0</v>
      </c>
      <c r="H41" s="11" t="n">
        <v>0</v>
      </c>
      <c r="I41" s="11" t="n">
        <v>1</v>
      </c>
      <c r="J41" s="11" t="n">
        <v>0</v>
      </c>
    </row>
    <row r="42">
      <c r="A42" s="10" t="inlineStr">
        <is>
          <t>complaint.manage</t>
        </is>
      </c>
      <c r="B42" s="11" t="n">
        <v>1</v>
      </c>
      <c r="C42" s="11" t="n">
        <v>0</v>
      </c>
      <c r="D42" s="11" t="n">
        <v>1</v>
      </c>
      <c r="E42" s="11" t="n">
        <v>0</v>
      </c>
      <c r="F42" s="11" t="n">
        <v>0</v>
      </c>
      <c r="G42" s="11" t="n">
        <v>0</v>
      </c>
      <c r="H42" s="11" t="n">
        <v>0</v>
      </c>
      <c r="I42" s="11" t="n">
        <v>0</v>
      </c>
      <c r="J42" s="11" t="n">
        <v>0</v>
      </c>
    </row>
    <row r="43">
      <c r="A43" s="10" t="inlineStr">
        <is>
          <t>message.send</t>
        </is>
      </c>
      <c r="B43" s="11" t="n">
        <v>1</v>
      </c>
      <c r="C43" s="11" t="n">
        <v>1</v>
      </c>
      <c r="D43" s="11" t="n">
        <v>1</v>
      </c>
      <c r="E43" s="11" t="n">
        <v>1</v>
      </c>
      <c r="F43" s="11" t="n">
        <v>1</v>
      </c>
      <c r="G43" s="11" t="n">
        <v>1</v>
      </c>
      <c r="H43" s="11" t="n">
        <v>1</v>
      </c>
      <c r="I43" s="11" t="n">
        <v>1</v>
      </c>
      <c r="J43" s="11" t="n">
        <v>1</v>
      </c>
    </row>
    <row r="44">
      <c r="A44" s="10" t="inlineStr">
        <is>
          <t>task.view</t>
        </is>
      </c>
      <c r="B44" s="11" t="n">
        <v>1</v>
      </c>
      <c r="C44" s="11" t="n">
        <v>1</v>
      </c>
      <c r="D44" s="11" t="n">
        <v>1</v>
      </c>
      <c r="E44" s="11" t="n">
        <v>1</v>
      </c>
      <c r="F44" s="11" t="n">
        <v>1</v>
      </c>
      <c r="G44" s="11" t="n">
        <v>1</v>
      </c>
      <c r="H44" s="11" t="n">
        <v>1</v>
      </c>
      <c r="I44" s="11" t="n">
        <v>1</v>
      </c>
      <c r="J44" s="11" t="n">
        <v>1</v>
      </c>
    </row>
    <row r="45">
      <c r="A45" s="10" t="inlineStr">
        <is>
          <t>task.assign</t>
        </is>
      </c>
      <c r="B45" s="11" t="n">
        <v>1</v>
      </c>
      <c r="C45" s="11" t="n">
        <v>0</v>
      </c>
      <c r="D45" s="11" t="n">
        <v>1</v>
      </c>
      <c r="E45" s="11" t="n">
        <v>0</v>
      </c>
      <c r="F45" s="11" t="n">
        <v>0</v>
      </c>
      <c r="G45" s="11" t="n">
        <v>0</v>
      </c>
      <c r="H45" s="11" t="n">
        <v>0</v>
      </c>
      <c r="I45" s="11" t="n">
        <v>0</v>
      </c>
      <c r="J45" s="11" t="n">
        <v>0</v>
      </c>
    </row>
    <row r="46">
      <c r="A46" s="10" t="inlineStr">
        <is>
          <t>task.complete</t>
        </is>
      </c>
      <c r="B46" s="11" t="n">
        <v>1</v>
      </c>
      <c r="C46" s="11" t="n">
        <v>1</v>
      </c>
      <c r="D46" s="11" t="n">
        <v>1</v>
      </c>
      <c r="E46" s="11" t="n">
        <v>1</v>
      </c>
      <c r="F46" s="11" t="n">
        <v>1</v>
      </c>
      <c r="G46" s="11" t="n">
        <v>1</v>
      </c>
      <c r="H46" s="11" t="n">
        <v>1</v>
      </c>
      <c r="I46" s="11" t="n">
        <v>1</v>
      </c>
      <c r="J46" s="11" t="n">
        <v>1</v>
      </c>
    </row>
    <row r="47">
      <c r="A47" s="10" t="inlineStr">
        <is>
          <t>shift.view</t>
        </is>
      </c>
      <c r="B47" s="11" t="n">
        <v>1</v>
      </c>
      <c r="C47" s="11" t="n">
        <v>1</v>
      </c>
      <c r="D47" s="11" t="n">
        <v>1</v>
      </c>
      <c r="E47" s="11" t="n">
        <v>1</v>
      </c>
      <c r="F47" s="11" t="n">
        <v>1</v>
      </c>
      <c r="G47" s="11" t="n">
        <v>1</v>
      </c>
      <c r="H47" s="11" t="n">
        <v>1</v>
      </c>
      <c r="I47" s="11" t="n">
        <v>1</v>
      </c>
      <c r="J47" s="11" t="n">
        <v>1</v>
      </c>
    </row>
    <row r="48">
      <c r="A48" s="10" t="inlineStr">
        <is>
          <t>shift.manage</t>
        </is>
      </c>
      <c r="B48" s="11" t="n">
        <v>1</v>
      </c>
      <c r="C48" s="11" t="n">
        <v>0</v>
      </c>
      <c r="D48" s="11" t="n">
        <v>1</v>
      </c>
      <c r="E48" s="11" t="n">
        <v>0</v>
      </c>
      <c r="F48" s="11" t="n">
        <v>0</v>
      </c>
      <c r="G48" s="11" t="n">
        <v>0</v>
      </c>
      <c r="H48" s="11" t="n">
        <v>0</v>
      </c>
      <c r="I48" s="11" t="n">
        <v>0</v>
      </c>
      <c r="J48" s="11" t="n">
        <v>0</v>
      </c>
    </row>
    <row r="49">
      <c r="A49" s="10" t="inlineStr">
        <is>
          <t>report.operational.view</t>
        </is>
      </c>
      <c r="B49" s="11" t="n">
        <v>1</v>
      </c>
      <c r="C49" s="11" t="n">
        <v>0</v>
      </c>
      <c r="D49" s="11" t="n">
        <v>1</v>
      </c>
      <c r="E49" s="11" t="n">
        <v>0</v>
      </c>
      <c r="F49" s="11" t="n">
        <v>1</v>
      </c>
      <c r="G49" s="11" t="n">
        <v>1</v>
      </c>
      <c r="H49" s="11" t="n">
        <v>0</v>
      </c>
      <c r="I49" s="11" t="n">
        <v>0</v>
      </c>
      <c r="J49" s="11" t="n">
        <v>0</v>
      </c>
    </row>
    <row r="50">
      <c r="A50" s="10" t="inlineStr">
        <is>
          <t>report.financial.view</t>
        </is>
      </c>
      <c r="B50" s="11" t="n">
        <v>1</v>
      </c>
      <c r="C50" s="11" t="n">
        <v>0</v>
      </c>
      <c r="D50" s="11" t="n">
        <v>0</v>
      </c>
      <c r="E50" s="11" t="n">
        <v>0</v>
      </c>
      <c r="F50" s="11" t="n">
        <v>0</v>
      </c>
      <c r="G50" s="11" t="n">
        <v>1</v>
      </c>
      <c r="H50" s="11" t="n">
        <v>0</v>
      </c>
      <c r="I50" s="11" t="n">
        <v>0</v>
      </c>
      <c r="J50" s="11" t="n">
        <v>0</v>
      </c>
    </row>
    <row r="51">
      <c r="A51" s="10" t="inlineStr">
        <is>
          <t>audit.view</t>
        </is>
      </c>
      <c r="B51" s="11" t="n">
        <v>1</v>
      </c>
      <c r="C51" s="11" t="n">
        <v>1</v>
      </c>
      <c r="D51" s="11" t="n">
        <v>0</v>
      </c>
      <c r="E51" s="11" t="n">
        <v>0</v>
      </c>
      <c r="F51" s="11" t="n">
        <v>0</v>
      </c>
      <c r="G51" s="11" t="n">
        <v>1</v>
      </c>
      <c r="H51" s="11" t="n">
        <v>0</v>
      </c>
      <c r="I51" s="11" t="n">
        <v>0</v>
      </c>
      <c r="J51" s="11" t="n">
        <v>0</v>
      </c>
    </row>
    <row r="52">
      <c r="A52" s="10" t="inlineStr">
        <is>
          <t>performance.view.own</t>
        </is>
      </c>
      <c r="B52" s="11" t="n">
        <v>1</v>
      </c>
      <c r="C52" s="11" t="n">
        <v>1</v>
      </c>
      <c r="D52" s="11" t="n">
        <v>1</v>
      </c>
      <c r="E52" s="11" t="n">
        <v>1</v>
      </c>
      <c r="F52" s="11" t="n">
        <v>1</v>
      </c>
      <c r="G52" s="11" t="n">
        <v>1</v>
      </c>
      <c r="H52" s="11" t="n">
        <v>1</v>
      </c>
      <c r="I52" s="11" t="n">
        <v>1</v>
      </c>
      <c r="J52" s="11" t="n">
        <v>1</v>
      </c>
    </row>
    <row r="53">
      <c r="A53" s="10" t="inlineStr">
        <is>
          <t>performance.view.team</t>
        </is>
      </c>
      <c r="B53" s="11" t="n">
        <v>1</v>
      </c>
      <c r="C53" s="11" t="n">
        <v>0</v>
      </c>
      <c r="D53" s="11" t="n">
        <v>1</v>
      </c>
      <c r="E53" s="11" t="n">
        <v>1</v>
      </c>
      <c r="F53" s="11" t="n">
        <v>0</v>
      </c>
      <c r="G53" s="11" t="n">
        <v>0</v>
      </c>
      <c r="H53" s="11" t="n">
        <v>0</v>
      </c>
      <c r="I53" s="11" t="n">
        <v>0</v>
      </c>
      <c r="J53" s="11" t="n">
        <v>0</v>
      </c>
    </row>
    <row r="54">
      <c r="A54" s="10" t="inlineStr">
        <is>
          <t>performance.publish</t>
        </is>
      </c>
      <c r="B54" s="11" t="n">
        <v>1</v>
      </c>
      <c r="C54" s="11" t="n">
        <v>0</v>
      </c>
      <c r="D54" s="11" t="n">
        <v>0</v>
      </c>
      <c r="E54" s="11" t="n">
        <v>0</v>
      </c>
      <c r="F54" s="11" t="n">
        <v>0</v>
      </c>
      <c r="G54" s="11" t="n">
        <v>0</v>
      </c>
      <c r="H54" s="11" t="n">
        <v>0</v>
      </c>
      <c r="I54" s="11" t="n">
        <v>0</v>
      </c>
      <c r="J54" s="11" t="n">
        <v>0</v>
      </c>
    </row>
    <row r="55">
      <c r="A55" s="10" t="inlineStr">
        <is>
          <t>incentive.configure</t>
        </is>
      </c>
      <c r="B55" s="11" t="n">
        <v>1</v>
      </c>
      <c r="C55" s="11" t="n">
        <v>0</v>
      </c>
      <c r="D55" s="11" t="n">
        <v>0</v>
      </c>
      <c r="E55" s="11" t="n">
        <v>0</v>
      </c>
      <c r="F55" s="11" t="n">
        <v>0</v>
      </c>
      <c r="G55" s="11" t="n">
        <v>0</v>
      </c>
      <c r="H55" s="11" t="n">
        <v>0</v>
      </c>
      <c r="I55" s="11" t="n">
        <v>0</v>
      </c>
      <c r="J55" s="11" t="n">
        <v>0</v>
      </c>
    </row>
    <row r="56">
      <c r="A56" s="10" t="inlineStr">
        <is>
          <t>recognition.award</t>
        </is>
      </c>
      <c r="B56" s="11" t="n">
        <v>1</v>
      </c>
      <c r="C56" s="11" t="n">
        <v>0</v>
      </c>
      <c r="D56" s="11" t="n">
        <v>1</v>
      </c>
      <c r="E56" s="11" t="n">
        <v>0</v>
      </c>
      <c r="F56" s="11" t="n">
        <v>0</v>
      </c>
      <c r="G56" s="11" t="n">
        <v>0</v>
      </c>
      <c r="H56" s="11" t="n">
        <v>0</v>
      </c>
      <c r="I56" s="11" t="n">
        <v>0</v>
      </c>
      <c r="J56" s="11" t="n">
        <v>0</v>
      </c>
    </row>
    <row r="58">
      <c r="A58" s="12" t="inlineStr">
        <is>
          <t>Source data, in blue: read from backend/app/core/permissions.json on 2026-09-28. 1 = the role template grants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86"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30" customHeight="1">
      <c r="A1" s="4" t="inlineStr">
        <is>
          <t>Area</t>
        </is>
      </c>
      <c r="B1" s="4" t="inlineStr">
        <is>
          <t>Feature / action</t>
        </is>
      </c>
      <c r="C1" s="4" t="inlineStr">
        <is>
          <t>Permission code</t>
        </is>
      </c>
      <c r="D1" s="4" t="inlineStr">
        <is>
          <t>What it allows</t>
        </is>
      </c>
      <c r="E1" s="4" t="inlineStr">
        <is>
          <t>Owner</t>
        </is>
      </c>
      <c r="F1" s="4" t="inlineStr">
        <is>
          <t>Administrator</t>
        </is>
      </c>
      <c r="G1" s="4" t="inlineStr">
        <is>
          <t>Manager</t>
        </is>
      </c>
      <c r="H1" s="4" t="inlineStr">
        <is>
          <t>Chef</t>
        </is>
      </c>
      <c r="I1" s="4" t="inlineStr">
        <is>
          <t>Store Manager</t>
        </is>
      </c>
      <c r="J1" s="4" t="inlineStr">
        <is>
          <t>Accountant</t>
        </is>
      </c>
      <c r="K1" s="4" t="inlineStr">
        <is>
          <t>Kitchen Staff</t>
        </is>
      </c>
      <c r="L1" s="4" t="inlineStr">
        <is>
          <t>Waiter</t>
        </is>
      </c>
      <c r="M1" s="4" t="inlineStr">
        <is>
          <t>Cleaner</t>
        </is>
      </c>
    </row>
    <row r="2">
      <c r="A2" s="5" t="inlineStr">
        <is>
          <t>Analytics &amp; reporting</t>
        </is>
      </c>
      <c r="B2" s="6" t="inlineStr">
        <is>
          <t>audit view</t>
        </is>
      </c>
      <c r="C2" s="6" t="inlineStr">
        <is>
          <t>audit.view</t>
        </is>
      </c>
      <c r="D2" s="7" t="inlineStr">
        <is>
          <t>Read the audit trail: who changed a price, who voided a bill, who granted a role, and what the value was before and after. Held by the owner, the administrator and the accountant. A manager is deliberately not given it - the person who runs the floor is frequently the subject of the record, and a record its subject curates is not a record.</t>
        </is>
      </c>
      <c r="E2" s="8">
        <f>IFERROR(IF(INDEX('Permission matrix'!$B$2:$J$56,MATCH($C2,'Permission matrix'!$A$2:$A$56,0),MATCH(E$1,'Permission matrix'!$B$1:$J$1,0))=1,"Yes","-"),"?")</f>
        <v/>
      </c>
      <c r="F2" s="8">
        <f>IFERROR(IF(INDEX('Permission matrix'!$B$2:$J$56,MATCH($C2,'Permission matrix'!$A$2:$A$56,0),MATCH(F$1,'Permission matrix'!$B$1:$J$1,0))=1,"Yes","-"),"?")</f>
        <v/>
      </c>
      <c r="G2" s="8">
        <f>IFERROR(IF(INDEX('Permission matrix'!$B$2:$J$56,MATCH($C2,'Permission matrix'!$A$2:$A$56,0),MATCH(G$1,'Permission matrix'!$B$1:$J$1,0))=1,"Yes","-"),"?")</f>
        <v/>
      </c>
      <c r="H2" s="8">
        <f>IFERROR(IF(INDEX('Permission matrix'!$B$2:$J$56,MATCH($C2,'Permission matrix'!$A$2:$A$56,0),MATCH(H$1,'Permission matrix'!$B$1:$J$1,0))=1,"Yes","-"),"?")</f>
        <v/>
      </c>
      <c r="I2" s="8">
        <f>IFERROR(IF(INDEX('Permission matrix'!$B$2:$J$56,MATCH($C2,'Permission matrix'!$A$2:$A$56,0),MATCH(I$1,'Permission matrix'!$B$1:$J$1,0))=1,"Yes","-"),"?")</f>
        <v/>
      </c>
      <c r="J2" s="8">
        <f>IFERROR(IF(INDEX('Permission matrix'!$B$2:$J$56,MATCH($C2,'Permission matrix'!$A$2:$A$56,0),MATCH(J$1,'Permission matrix'!$B$1:$J$1,0))=1,"Yes","-"),"?")</f>
        <v/>
      </c>
      <c r="K2" s="8">
        <f>IFERROR(IF(INDEX('Permission matrix'!$B$2:$J$56,MATCH($C2,'Permission matrix'!$A$2:$A$56,0),MATCH(K$1,'Permission matrix'!$B$1:$J$1,0))=1,"Yes","-"),"?")</f>
        <v/>
      </c>
      <c r="L2" s="8">
        <f>IFERROR(IF(INDEX('Permission matrix'!$B$2:$J$56,MATCH($C2,'Permission matrix'!$A$2:$A$56,0),MATCH(L$1,'Permission matrix'!$B$1:$J$1,0))=1,"Yes","-"),"?")</f>
        <v/>
      </c>
      <c r="M2" s="8">
        <f>IFERROR(IF(INDEX('Permission matrix'!$B$2:$J$56,MATCH($C2,'Permission matrix'!$A$2:$A$56,0),MATCH(M$1,'Permission matrix'!$B$1:$J$1,0))=1,"Yes","-"),"?")</f>
        <v/>
      </c>
    </row>
    <row r="3">
      <c r="A3" s="5" t="inlineStr">
        <is>
          <t>Analytics &amp; reporting</t>
        </is>
      </c>
      <c r="B3" s="6" t="inlineStr">
        <is>
          <t>report financial view</t>
        </is>
      </c>
      <c r="C3" s="6" t="inlineStr">
        <is>
          <t>report.financial.view</t>
        </is>
      </c>
      <c r="D3" s="7" t="inlineStr">
        <is>
          <t>Read the money: revenue, covers, average bill, the payment split, and the food-cost variance that shows what was used against what the recipes say should have been. Held by the owner and the accountant. A manager is deliberately not given it - running the floor and reading the books are different jobs, and the design draws that line rather than showing a manager a screen full of blanks.</t>
        </is>
      </c>
      <c r="E3" s="8">
        <f>IFERROR(IF(INDEX('Permission matrix'!$B$2:$J$56,MATCH($C3,'Permission matrix'!$A$2:$A$56,0),MATCH(E$1,'Permission matrix'!$B$1:$J$1,0))=1,"Yes","-"),"?")</f>
        <v/>
      </c>
      <c r="F3" s="8">
        <f>IFERROR(IF(INDEX('Permission matrix'!$B$2:$J$56,MATCH($C3,'Permission matrix'!$A$2:$A$56,0),MATCH(F$1,'Permission matrix'!$B$1:$J$1,0))=1,"Yes","-"),"?")</f>
        <v/>
      </c>
      <c r="G3" s="8">
        <f>IFERROR(IF(INDEX('Permission matrix'!$B$2:$J$56,MATCH($C3,'Permission matrix'!$A$2:$A$56,0),MATCH(G$1,'Permission matrix'!$B$1:$J$1,0))=1,"Yes","-"),"?")</f>
        <v/>
      </c>
      <c r="H3" s="8">
        <f>IFERROR(IF(INDEX('Permission matrix'!$B$2:$J$56,MATCH($C3,'Permission matrix'!$A$2:$A$56,0),MATCH(H$1,'Permission matrix'!$B$1:$J$1,0))=1,"Yes","-"),"?")</f>
        <v/>
      </c>
      <c r="I3" s="8">
        <f>IFERROR(IF(INDEX('Permission matrix'!$B$2:$J$56,MATCH($C3,'Permission matrix'!$A$2:$A$56,0),MATCH(I$1,'Permission matrix'!$B$1:$J$1,0))=1,"Yes","-"),"?")</f>
        <v/>
      </c>
      <c r="J3" s="8">
        <f>IFERROR(IF(INDEX('Permission matrix'!$B$2:$J$56,MATCH($C3,'Permission matrix'!$A$2:$A$56,0),MATCH(J$1,'Permission matrix'!$B$1:$J$1,0))=1,"Yes","-"),"?")</f>
        <v/>
      </c>
      <c r="K3" s="8">
        <f>IFERROR(IF(INDEX('Permission matrix'!$B$2:$J$56,MATCH($C3,'Permission matrix'!$A$2:$A$56,0),MATCH(K$1,'Permission matrix'!$B$1:$J$1,0))=1,"Yes","-"),"?")</f>
        <v/>
      </c>
      <c r="L3" s="8">
        <f>IFERROR(IF(INDEX('Permission matrix'!$B$2:$J$56,MATCH($C3,'Permission matrix'!$A$2:$A$56,0),MATCH(L$1,'Permission matrix'!$B$1:$J$1,0))=1,"Yes","-"),"?")</f>
        <v/>
      </c>
      <c r="M3" s="8">
        <f>IFERROR(IF(INDEX('Permission matrix'!$B$2:$J$56,MATCH($C3,'Permission matrix'!$A$2:$A$56,0),MATCH(M$1,'Permission matrix'!$B$1:$J$1,0))=1,"Yes","-"),"?")</f>
        <v/>
      </c>
    </row>
    <row r="4">
      <c r="A4" s="5" t="inlineStr">
        <is>
          <t>Analytics &amp; reporting</t>
        </is>
      </c>
      <c r="B4" s="6" t="inlineStr">
        <is>
          <t>report operational view</t>
        </is>
      </c>
      <c r="C4" s="6" t="inlineStr">
        <is>
          <t>report.operational.view</t>
        </is>
      </c>
      <c r="D4" s="7" t="inlineStr">
        <is>
          <t>Read the operational reports: what each dish sold and earned, where it sits on the menu, how long it took the kitchen, and what was thrown away. Held by a manager and a store manager as well as the owner, because these are the numbers somebody running a service can actually act on before the next one.</t>
        </is>
      </c>
      <c r="E4" s="8">
        <f>IFERROR(IF(INDEX('Permission matrix'!$B$2:$J$56,MATCH($C4,'Permission matrix'!$A$2:$A$56,0),MATCH(E$1,'Permission matrix'!$B$1:$J$1,0))=1,"Yes","-"),"?")</f>
        <v/>
      </c>
      <c r="F4" s="8">
        <f>IFERROR(IF(INDEX('Permission matrix'!$B$2:$J$56,MATCH($C4,'Permission matrix'!$A$2:$A$56,0),MATCH(F$1,'Permission matrix'!$B$1:$J$1,0))=1,"Yes","-"),"?")</f>
        <v/>
      </c>
      <c r="G4" s="8">
        <f>IFERROR(IF(INDEX('Permission matrix'!$B$2:$J$56,MATCH($C4,'Permission matrix'!$A$2:$A$56,0),MATCH(G$1,'Permission matrix'!$B$1:$J$1,0))=1,"Yes","-"),"?")</f>
        <v/>
      </c>
      <c r="H4" s="8">
        <f>IFERROR(IF(INDEX('Permission matrix'!$B$2:$J$56,MATCH($C4,'Permission matrix'!$A$2:$A$56,0),MATCH(H$1,'Permission matrix'!$B$1:$J$1,0))=1,"Yes","-"),"?")</f>
        <v/>
      </c>
      <c r="I4" s="8">
        <f>IFERROR(IF(INDEX('Permission matrix'!$B$2:$J$56,MATCH($C4,'Permission matrix'!$A$2:$A$56,0),MATCH(I$1,'Permission matrix'!$B$1:$J$1,0))=1,"Yes","-"),"?")</f>
        <v/>
      </c>
      <c r="J4" s="8">
        <f>IFERROR(IF(INDEX('Permission matrix'!$B$2:$J$56,MATCH($C4,'Permission matrix'!$A$2:$A$56,0),MATCH(J$1,'Permission matrix'!$B$1:$J$1,0))=1,"Yes","-"),"?")</f>
        <v/>
      </c>
      <c r="K4" s="8">
        <f>IFERROR(IF(INDEX('Permission matrix'!$B$2:$J$56,MATCH($C4,'Permission matrix'!$A$2:$A$56,0),MATCH(K$1,'Permission matrix'!$B$1:$J$1,0))=1,"Yes","-"),"?")</f>
        <v/>
      </c>
      <c r="L4" s="8">
        <f>IFERROR(IF(INDEX('Permission matrix'!$B$2:$J$56,MATCH($C4,'Permission matrix'!$A$2:$A$56,0),MATCH(L$1,'Permission matrix'!$B$1:$J$1,0))=1,"Yes","-"),"?")</f>
        <v/>
      </c>
      <c r="M4" s="8">
        <f>IFERROR(IF(INDEX('Permission matrix'!$B$2:$J$56,MATCH($C4,'Permission matrix'!$A$2:$A$56,0),MATCH(M$1,'Permission matrix'!$B$1:$J$1,0))=1,"Yes","-"),"?")</f>
        <v/>
      </c>
    </row>
    <row r="5">
      <c r="A5" s="5" t="inlineStr">
        <is>
          <t>Communication &amp; tasks</t>
        </is>
      </c>
      <c r="B5" s="6" t="inlineStr">
        <is>
          <t>message send</t>
        </is>
      </c>
      <c r="C5" s="6" t="inlineStr">
        <is>
          <t>message.send</t>
        </is>
      </c>
      <c r="D5" s="7" t="inlineStr">
        <is>
          <t>Take part in the restaurant's conversations: read the threads you are in, post to them, and attach a photograph or a document. Held by every role, cleaner included, because the person who finds the broken freezer at 6am is exactly the person with no other permissions. It does not open every thread - you see a conversation because you are a participant in it, and being added to one is somebody's decision, not a permission.</t>
        </is>
      </c>
      <c r="E5" s="8">
        <f>IFERROR(IF(INDEX('Permission matrix'!$B$2:$J$56,MATCH($C5,'Permission matrix'!$A$2:$A$56,0),MATCH(E$1,'Permission matrix'!$B$1:$J$1,0))=1,"Yes","-"),"?")</f>
        <v/>
      </c>
      <c r="F5" s="8">
        <f>IFERROR(IF(INDEX('Permission matrix'!$B$2:$J$56,MATCH($C5,'Permission matrix'!$A$2:$A$56,0),MATCH(F$1,'Permission matrix'!$B$1:$J$1,0))=1,"Yes","-"),"?")</f>
        <v/>
      </c>
      <c r="G5" s="8">
        <f>IFERROR(IF(INDEX('Permission matrix'!$B$2:$J$56,MATCH($C5,'Permission matrix'!$A$2:$A$56,0),MATCH(G$1,'Permission matrix'!$B$1:$J$1,0))=1,"Yes","-"),"?")</f>
        <v/>
      </c>
      <c r="H5" s="8">
        <f>IFERROR(IF(INDEX('Permission matrix'!$B$2:$J$56,MATCH($C5,'Permission matrix'!$A$2:$A$56,0),MATCH(H$1,'Permission matrix'!$B$1:$J$1,0))=1,"Yes","-"),"?")</f>
        <v/>
      </c>
      <c r="I5" s="8">
        <f>IFERROR(IF(INDEX('Permission matrix'!$B$2:$J$56,MATCH($C5,'Permission matrix'!$A$2:$A$56,0),MATCH(I$1,'Permission matrix'!$B$1:$J$1,0))=1,"Yes","-"),"?")</f>
        <v/>
      </c>
      <c r="J5" s="8">
        <f>IFERROR(IF(INDEX('Permission matrix'!$B$2:$J$56,MATCH($C5,'Permission matrix'!$A$2:$A$56,0),MATCH(J$1,'Permission matrix'!$B$1:$J$1,0))=1,"Yes","-"),"?")</f>
        <v/>
      </c>
      <c r="K5" s="8">
        <f>IFERROR(IF(INDEX('Permission matrix'!$B$2:$J$56,MATCH($C5,'Permission matrix'!$A$2:$A$56,0),MATCH(K$1,'Permission matrix'!$B$1:$J$1,0))=1,"Yes","-"),"?")</f>
        <v/>
      </c>
      <c r="L5" s="8">
        <f>IFERROR(IF(INDEX('Permission matrix'!$B$2:$J$56,MATCH($C5,'Permission matrix'!$A$2:$A$56,0),MATCH(L$1,'Permission matrix'!$B$1:$J$1,0))=1,"Yes","-"),"?")</f>
        <v/>
      </c>
      <c r="M5" s="8">
        <f>IFERROR(IF(INDEX('Permission matrix'!$B$2:$J$56,MATCH($C5,'Permission matrix'!$A$2:$A$56,0),MATCH(M$1,'Permission matrix'!$B$1:$J$1,0))=1,"Yes","-"),"?")</f>
        <v/>
      </c>
    </row>
    <row r="6">
      <c r="A6" s="5" t="inlineStr">
        <is>
          <t>Communication &amp; tasks</t>
        </is>
      </c>
      <c r="B6" s="6" t="inlineStr">
        <is>
          <t>task assign</t>
        </is>
      </c>
      <c r="C6" s="6" t="inlineStr">
        <is>
          <t>task.assign</t>
        </is>
      </c>
      <c r="D6" s="7" t="inlineStr">
        <is>
          <t>Give work to somebody else, move it to a different person, change what it says, cancel it, and verify that finished work was actually done. Giving a colleague a task is a manager's act, which is why it is separate from writing one down for yourself. Verifying your own completed work is refused unless you are the owner - the person who did the work is not the person who says it was done.</t>
        </is>
      </c>
      <c r="E6" s="8">
        <f>IFERROR(IF(INDEX('Permission matrix'!$B$2:$J$56,MATCH($C6,'Permission matrix'!$A$2:$A$56,0),MATCH(E$1,'Permission matrix'!$B$1:$J$1,0))=1,"Yes","-"),"?")</f>
        <v/>
      </c>
      <c r="F6" s="8">
        <f>IFERROR(IF(INDEX('Permission matrix'!$B$2:$J$56,MATCH($C6,'Permission matrix'!$A$2:$A$56,0),MATCH(F$1,'Permission matrix'!$B$1:$J$1,0))=1,"Yes","-"),"?")</f>
        <v/>
      </c>
      <c r="G6" s="8">
        <f>IFERROR(IF(INDEX('Permission matrix'!$B$2:$J$56,MATCH($C6,'Permission matrix'!$A$2:$A$56,0),MATCH(G$1,'Permission matrix'!$B$1:$J$1,0))=1,"Yes","-"),"?")</f>
        <v/>
      </c>
      <c r="H6" s="8">
        <f>IFERROR(IF(INDEX('Permission matrix'!$B$2:$J$56,MATCH($C6,'Permission matrix'!$A$2:$A$56,0),MATCH(H$1,'Permission matrix'!$B$1:$J$1,0))=1,"Yes","-"),"?")</f>
        <v/>
      </c>
      <c r="I6" s="8">
        <f>IFERROR(IF(INDEX('Permission matrix'!$B$2:$J$56,MATCH($C6,'Permission matrix'!$A$2:$A$56,0),MATCH(I$1,'Permission matrix'!$B$1:$J$1,0))=1,"Yes","-"),"?")</f>
        <v/>
      </c>
      <c r="J6" s="8">
        <f>IFERROR(IF(INDEX('Permission matrix'!$B$2:$J$56,MATCH($C6,'Permission matrix'!$A$2:$A$56,0),MATCH(J$1,'Permission matrix'!$B$1:$J$1,0))=1,"Yes","-"),"?")</f>
        <v/>
      </c>
      <c r="K6" s="8">
        <f>IFERROR(IF(INDEX('Permission matrix'!$B$2:$J$56,MATCH($C6,'Permission matrix'!$A$2:$A$56,0),MATCH(K$1,'Permission matrix'!$B$1:$J$1,0))=1,"Yes","-"),"?")</f>
        <v/>
      </c>
      <c r="L6" s="8">
        <f>IFERROR(IF(INDEX('Permission matrix'!$B$2:$J$56,MATCH($C6,'Permission matrix'!$A$2:$A$56,0),MATCH(L$1,'Permission matrix'!$B$1:$J$1,0))=1,"Yes","-"),"?")</f>
        <v/>
      </c>
      <c r="M6" s="8">
        <f>IFERROR(IF(INDEX('Permission matrix'!$B$2:$J$56,MATCH($C6,'Permission matrix'!$A$2:$A$56,0),MATCH(M$1,'Permission matrix'!$B$1:$J$1,0))=1,"Yes","-"),"?")</f>
        <v/>
      </c>
    </row>
    <row r="7">
      <c r="A7" s="5" t="inlineStr">
        <is>
          <t>Communication &amp; tasks</t>
        </is>
      </c>
      <c r="B7" s="6" t="inlineStr">
        <is>
          <t>task complete</t>
        </is>
      </c>
      <c r="C7" s="6" t="inlineStr">
        <is>
          <t>task.complete</t>
        </is>
      </c>
      <c r="D7" s="7" t="inlineStr">
        <is>
          <t>Move a task you were assigned along its lifecycle - accept it, start it, finish it. Held by every role, and the service refuses it on somebody else's task: nobody completes work on another person's behalf, because that is the one thing the record exists to prevent.</t>
        </is>
      </c>
      <c r="E7" s="8">
        <f>IFERROR(IF(INDEX('Permission matrix'!$B$2:$J$56,MATCH($C7,'Permission matrix'!$A$2:$A$56,0),MATCH(E$1,'Permission matrix'!$B$1:$J$1,0))=1,"Yes","-"),"?")</f>
        <v/>
      </c>
      <c r="F7" s="8">
        <f>IFERROR(IF(INDEX('Permission matrix'!$B$2:$J$56,MATCH($C7,'Permission matrix'!$A$2:$A$56,0),MATCH(F$1,'Permission matrix'!$B$1:$J$1,0))=1,"Yes","-"),"?")</f>
        <v/>
      </c>
      <c r="G7" s="8">
        <f>IFERROR(IF(INDEX('Permission matrix'!$B$2:$J$56,MATCH($C7,'Permission matrix'!$A$2:$A$56,0),MATCH(G$1,'Permission matrix'!$B$1:$J$1,0))=1,"Yes","-"),"?")</f>
        <v/>
      </c>
      <c r="H7" s="8">
        <f>IFERROR(IF(INDEX('Permission matrix'!$B$2:$J$56,MATCH($C7,'Permission matrix'!$A$2:$A$56,0),MATCH(H$1,'Permission matrix'!$B$1:$J$1,0))=1,"Yes","-"),"?")</f>
        <v/>
      </c>
      <c r="I7" s="8">
        <f>IFERROR(IF(INDEX('Permission matrix'!$B$2:$J$56,MATCH($C7,'Permission matrix'!$A$2:$A$56,0),MATCH(I$1,'Permission matrix'!$B$1:$J$1,0))=1,"Yes","-"),"?")</f>
        <v/>
      </c>
      <c r="J7" s="8">
        <f>IFERROR(IF(INDEX('Permission matrix'!$B$2:$J$56,MATCH($C7,'Permission matrix'!$A$2:$A$56,0),MATCH(J$1,'Permission matrix'!$B$1:$J$1,0))=1,"Yes","-"),"?")</f>
        <v/>
      </c>
      <c r="K7" s="8">
        <f>IFERROR(IF(INDEX('Permission matrix'!$B$2:$J$56,MATCH($C7,'Permission matrix'!$A$2:$A$56,0),MATCH(K$1,'Permission matrix'!$B$1:$J$1,0))=1,"Yes","-"),"?")</f>
        <v/>
      </c>
      <c r="L7" s="8">
        <f>IFERROR(IF(INDEX('Permission matrix'!$B$2:$J$56,MATCH($C7,'Permission matrix'!$A$2:$A$56,0),MATCH(L$1,'Permission matrix'!$B$1:$J$1,0))=1,"Yes","-"),"?")</f>
        <v/>
      </c>
      <c r="M7" s="8">
        <f>IFERROR(IF(INDEX('Permission matrix'!$B$2:$J$56,MATCH($C7,'Permission matrix'!$A$2:$A$56,0),MATCH(M$1,'Permission matrix'!$B$1:$J$1,0))=1,"Yes","-"),"?")</f>
        <v/>
      </c>
    </row>
    <row r="8">
      <c r="A8" s="5" t="inlineStr">
        <is>
          <t>Communication &amp; tasks</t>
        </is>
      </c>
      <c r="B8" s="6" t="inlineStr">
        <is>
          <t>task view</t>
        </is>
      </c>
      <c r="C8" s="6" t="inlineStr">
        <is>
          <t>task.view</t>
        </is>
      </c>
      <c r="D8" s="7" t="inlineStr">
        <is>
          <t>See the work assigned to you, and write down work for yourself. Held by every role. Somebody without task.assign sees their own tasks and the ones they created, never the whole restaurant's board.</t>
        </is>
      </c>
      <c r="E8" s="8">
        <f>IFERROR(IF(INDEX('Permission matrix'!$B$2:$J$56,MATCH($C8,'Permission matrix'!$A$2:$A$56,0),MATCH(E$1,'Permission matrix'!$B$1:$J$1,0))=1,"Yes","-"),"?")</f>
        <v/>
      </c>
      <c r="F8" s="8">
        <f>IFERROR(IF(INDEX('Permission matrix'!$B$2:$J$56,MATCH($C8,'Permission matrix'!$A$2:$A$56,0),MATCH(F$1,'Permission matrix'!$B$1:$J$1,0))=1,"Yes","-"),"?")</f>
        <v/>
      </c>
      <c r="G8" s="8">
        <f>IFERROR(IF(INDEX('Permission matrix'!$B$2:$J$56,MATCH($C8,'Permission matrix'!$A$2:$A$56,0),MATCH(G$1,'Permission matrix'!$B$1:$J$1,0))=1,"Yes","-"),"?")</f>
        <v/>
      </c>
      <c r="H8" s="8">
        <f>IFERROR(IF(INDEX('Permission matrix'!$B$2:$J$56,MATCH($C8,'Permission matrix'!$A$2:$A$56,0),MATCH(H$1,'Permission matrix'!$B$1:$J$1,0))=1,"Yes","-"),"?")</f>
        <v/>
      </c>
      <c r="I8" s="8">
        <f>IFERROR(IF(INDEX('Permission matrix'!$B$2:$J$56,MATCH($C8,'Permission matrix'!$A$2:$A$56,0),MATCH(I$1,'Permission matrix'!$B$1:$J$1,0))=1,"Yes","-"),"?")</f>
        <v/>
      </c>
      <c r="J8" s="8">
        <f>IFERROR(IF(INDEX('Permission matrix'!$B$2:$J$56,MATCH($C8,'Permission matrix'!$A$2:$A$56,0),MATCH(J$1,'Permission matrix'!$B$1:$J$1,0))=1,"Yes","-"),"?")</f>
        <v/>
      </c>
      <c r="K8" s="8">
        <f>IFERROR(IF(INDEX('Permission matrix'!$B$2:$J$56,MATCH($C8,'Permission matrix'!$A$2:$A$56,0),MATCH(K$1,'Permission matrix'!$B$1:$J$1,0))=1,"Yes","-"),"?")</f>
        <v/>
      </c>
      <c r="L8" s="8">
        <f>IFERROR(IF(INDEX('Permission matrix'!$B$2:$J$56,MATCH($C8,'Permission matrix'!$A$2:$A$56,0),MATCH(L$1,'Permission matrix'!$B$1:$J$1,0))=1,"Yes","-"),"?")</f>
        <v/>
      </c>
      <c r="M8" s="8">
        <f>IFERROR(IF(INDEX('Permission matrix'!$B$2:$J$56,MATCH($C8,'Permission matrix'!$A$2:$A$56,0),MATCH(M$1,'Permission matrix'!$B$1:$J$1,0))=1,"Yes","-"),"?")</f>
        <v/>
      </c>
    </row>
    <row r="9">
      <c r="A9" s="5" t="inlineStr">
        <is>
          <t>Compliance</t>
        </is>
      </c>
      <c r="B9" s="6" t="inlineStr">
        <is>
          <t>compliance act</t>
        </is>
      </c>
      <c r="C9" s="6" t="inlineStr">
        <is>
          <t>compliance.act</t>
        </is>
      </c>
      <c r="D9" s="7" t="inlineStr">
        <is>
          <t>Acknowledge a finding, or set one aside with a reason. Suppression is a recorded decision, not a deletion - the finding stays in the export with the reason attached, because advice ignored is still advice given, and the export is what an owner hands an inspector. The owner's and the administrator's: deciding a licence warning does not matter is not a floor decision.</t>
        </is>
      </c>
      <c r="E9" s="8">
        <f>IFERROR(IF(INDEX('Permission matrix'!$B$2:$J$56,MATCH($C9,'Permission matrix'!$A$2:$A$56,0),MATCH(E$1,'Permission matrix'!$B$1:$J$1,0))=1,"Yes","-"),"?")</f>
        <v/>
      </c>
      <c r="F9" s="8">
        <f>IFERROR(IF(INDEX('Permission matrix'!$B$2:$J$56,MATCH($C9,'Permission matrix'!$A$2:$A$56,0),MATCH(F$1,'Permission matrix'!$B$1:$J$1,0))=1,"Yes","-"),"?")</f>
        <v/>
      </c>
      <c r="G9" s="8">
        <f>IFERROR(IF(INDEX('Permission matrix'!$B$2:$J$56,MATCH($C9,'Permission matrix'!$A$2:$A$56,0),MATCH(G$1,'Permission matrix'!$B$1:$J$1,0))=1,"Yes","-"),"?")</f>
        <v/>
      </c>
      <c r="H9" s="8">
        <f>IFERROR(IF(INDEX('Permission matrix'!$B$2:$J$56,MATCH($C9,'Permission matrix'!$A$2:$A$56,0),MATCH(H$1,'Permission matrix'!$B$1:$J$1,0))=1,"Yes","-"),"?")</f>
        <v/>
      </c>
      <c r="I9" s="8">
        <f>IFERROR(IF(INDEX('Permission matrix'!$B$2:$J$56,MATCH($C9,'Permission matrix'!$A$2:$A$56,0),MATCH(I$1,'Permission matrix'!$B$1:$J$1,0))=1,"Yes","-"),"?")</f>
        <v/>
      </c>
      <c r="J9" s="8">
        <f>IFERROR(IF(INDEX('Permission matrix'!$B$2:$J$56,MATCH($C9,'Permission matrix'!$A$2:$A$56,0),MATCH(J$1,'Permission matrix'!$B$1:$J$1,0))=1,"Yes","-"),"?")</f>
        <v/>
      </c>
      <c r="K9" s="8">
        <f>IFERROR(IF(INDEX('Permission matrix'!$B$2:$J$56,MATCH($C9,'Permission matrix'!$A$2:$A$56,0),MATCH(K$1,'Permission matrix'!$B$1:$J$1,0))=1,"Yes","-"),"?")</f>
        <v/>
      </c>
      <c r="L9" s="8">
        <f>IFERROR(IF(INDEX('Permission matrix'!$B$2:$J$56,MATCH($C9,'Permission matrix'!$A$2:$A$56,0),MATCH(L$1,'Permission matrix'!$B$1:$J$1,0))=1,"Yes","-"),"?")</f>
        <v/>
      </c>
      <c r="M9" s="8">
        <f>IFERROR(IF(INDEX('Permission matrix'!$B$2:$J$56,MATCH($C9,'Permission matrix'!$A$2:$A$56,0),MATCH(M$1,'Permission matrix'!$B$1:$J$1,0))=1,"Yes","-"),"?")</f>
        <v/>
      </c>
    </row>
    <row r="10">
      <c r="A10" s="5" t="inlineStr">
        <is>
          <t>Compliance</t>
        </is>
      </c>
      <c r="B10" s="6" t="inlineStr">
        <is>
          <t>compliance view</t>
        </is>
      </c>
      <c r="C10" s="6" t="inlineStr">
        <is>
          <t>compliance.view</t>
        </is>
      </c>
      <c r="D10" s="7" t="inlineStr">
        <is>
          <t>See what in this restaurant's configuration puts its licences at risk: an expired or malformed FSSAI number, a missing GSTIN, dishes with no allergen statement. Every finding cites the instrument it comes from and the date that citation was checked, so a person can verify the product's working rather than trust it.</t>
        </is>
      </c>
      <c r="E10" s="8">
        <f>IFERROR(IF(INDEX('Permission matrix'!$B$2:$J$56,MATCH($C10,'Permission matrix'!$A$2:$A$56,0),MATCH(E$1,'Permission matrix'!$B$1:$J$1,0))=1,"Yes","-"),"?")</f>
        <v/>
      </c>
      <c r="F10" s="8">
        <f>IFERROR(IF(INDEX('Permission matrix'!$B$2:$J$56,MATCH($C10,'Permission matrix'!$A$2:$A$56,0),MATCH(F$1,'Permission matrix'!$B$1:$J$1,0))=1,"Yes","-"),"?")</f>
        <v/>
      </c>
      <c r="G10" s="8">
        <f>IFERROR(IF(INDEX('Permission matrix'!$B$2:$J$56,MATCH($C10,'Permission matrix'!$A$2:$A$56,0),MATCH(G$1,'Permission matrix'!$B$1:$J$1,0))=1,"Yes","-"),"?")</f>
        <v/>
      </c>
      <c r="H10" s="8">
        <f>IFERROR(IF(INDEX('Permission matrix'!$B$2:$J$56,MATCH($C10,'Permission matrix'!$A$2:$A$56,0),MATCH(H$1,'Permission matrix'!$B$1:$J$1,0))=1,"Yes","-"),"?")</f>
        <v/>
      </c>
      <c r="I10" s="8">
        <f>IFERROR(IF(INDEX('Permission matrix'!$B$2:$J$56,MATCH($C10,'Permission matrix'!$A$2:$A$56,0),MATCH(I$1,'Permission matrix'!$B$1:$J$1,0))=1,"Yes","-"),"?")</f>
        <v/>
      </c>
      <c r="J10" s="8">
        <f>IFERROR(IF(INDEX('Permission matrix'!$B$2:$J$56,MATCH($C10,'Permission matrix'!$A$2:$A$56,0),MATCH(J$1,'Permission matrix'!$B$1:$J$1,0))=1,"Yes","-"),"?")</f>
        <v/>
      </c>
      <c r="K10" s="8">
        <f>IFERROR(IF(INDEX('Permission matrix'!$B$2:$J$56,MATCH($C10,'Permission matrix'!$A$2:$A$56,0),MATCH(K$1,'Permission matrix'!$B$1:$J$1,0))=1,"Yes","-"),"?")</f>
        <v/>
      </c>
      <c r="L10" s="8">
        <f>IFERROR(IF(INDEX('Permission matrix'!$B$2:$J$56,MATCH($C10,'Permission matrix'!$A$2:$A$56,0),MATCH(L$1,'Permission matrix'!$B$1:$J$1,0))=1,"Yes","-"),"?")</f>
        <v/>
      </c>
      <c r="M10" s="8">
        <f>IFERROR(IF(INDEX('Permission matrix'!$B$2:$J$56,MATCH($C10,'Permission matrix'!$A$2:$A$56,0),MATCH(M$1,'Permission matrix'!$B$1:$J$1,0))=1,"Yes","-"),"?")</f>
        <v/>
      </c>
    </row>
    <row r="11">
      <c r="A11" s="5" t="inlineStr">
        <is>
          <t>Customer management</t>
        </is>
      </c>
      <c r="B11" s="6" t="inlineStr">
        <is>
          <t>complaint manage</t>
        </is>
      </c>
      <c r="C11" s="6" t="inlineStr">
        <is>
          <t>complaint.manage</t>
        </is>
      </c>
      <c r="D11" s="7" t="inlineStr">
        <is>
          <t>Log a complaint, give it an owner, and record what was actually done about it - a comp, a remake, a refund, an apology. A complaint nobody owns is worse than no system, which is why assigning is part of the same permission as logging. Whether the customer came back afterwards is not typed by anybody: it is derived from the order ledger, because it is the only honest measure of recovery and it becomes true weeks after everyone has forgotten.</t>
        </is>
      </c>
      <c r="E11" s="8">
        <f>IFERROR(IF(INDEX('Permission matrix'!$B$2:$J$56,MATCH($C11,'Permission matrix'!$A$2:$A$56,0),MATCH(E$1,'Permission matrix'!$B$1:$J$1,0))=1,"Yes","-"),"?")</f>
        <v/>
      </c>
      <c r="F11" s="8">
        <f>IFERROR(IF(INDEX('Permission matrix'!$B$2:$J$56,MATCH($C11,'Permission matrix'!$A$2:$A$56,0),MATCH(F$1,'Permission matrix'!$B$1:$J$1,0))=1,"Yes","-"),"?")</f>
        <v/>
      </c>
      <c r="G11" s="8">
        <f>IFERROR(IF(INDEX('Permission matrix'!$B$2:$J$56,MATCH($C11,'Permission matrix'!$A$2:$A$56,0),MATCH(G$1,'Permission matrix'!$B$1:$J$1,0))=1,"Yes","-"),"?")</f>
        <v/>
      </c>
      <c r="H11" s="8">
        <f>IFERROR(IF(INDEX('Permission matrix'!$B$2:$J$56,MATCH($C11,'Permission matrix'!$A$2:$A$56,0),MATCH(H$1,'Permission matrix'!$B$1:$J$1,0))=1,"Yes","-"),"?")</f>
        <v/>
      </c>
      <c r="I11" s="8">
        <f>IFERROR(IF(INDEX('Permission matrix'!$B$2:$J$56,MATCH($C11,'Permission matrix'!$A$2:$A$56,0),MATCH(I$1,'Permission matrix'!$B$1:$J$1,0))=1,"Yes","-"),"?")</f>
        <v/>
      </c>
      <c r="J11" s="8">
        <f>IFERROR(IF(INDEX('Permission matrix'!$B$2:$J$56,MATCH($C11,'Permission matrix'!$A$2:$A$56,0),MATCH(J$1,'Permission matrix'!$B$1:$J$1,0))=1,"Yes","-"),"?")</f>
        <v/>
      </c>
      <c r="K11" s="8">
        <f>IFERROR(IF(INDEX('Permission matrix'!$B$2:$J$56,MATCH($C11,'Permission matrix'!$A$2:$A$56,0),MATCH(K$1,'Permission matrix'!$B$1:$J$1,0))=1,"Yes","-"),"?")</f>
        <v/>
      </c>
      <c r="L11" s="8">
        <f>IFERROR(IF(INDEX('Permission matrix'!$B$2:$J$56,MATCH($C11,'Permission matrix'!$A$2:$A$56,0),MATCH(L$1,'Permission matrix'!$B$1:$J$1,0))=1,"Yes","-"),"?")</f>
        <v/>
      </c>
      <c r="M11" s="8">
        <f>IFERROR(IF(INDEX('Permission matrix'!$B$2:$J$56,MATCH($C11,'Permission matrix'!$A$2:$A$56,0),MATCH(M$1,'Permission matrix'!$B$1:$J$1,0))=1,"Yes","-"),"?")</f>
        <v/>
      </c>
    </row>
    <row r="12">
      <c r="A12" s="5" t="inlineStr">
        <is>
          <t>Customer management</t>
        </is>
      </c>
      <c r="B12" s="6" t="inlineStr">
        <is>
          <t>customer manage</t>
        </is>
      </c>
      <c r="C12" s="6" t="inlineStr">
        <is>
          <t>customer.manage</t>
        </is>
      </c>
      <c r="D12" s="7" t="inlineStr">
        <is>
          <t>Create and edit a customer, record their preferences, capture or withdraw a consent, export everything held about them, and erase them at their request. Erasure destroys every detail that names a person and keeps every order, because a bill is a financial record; it cannot be undone, and afterwards the same person returning is a new customer with no history.</t>
        </is>
      </c>
      <c r="E12" s="8">
        <f>IFERROR(IF(INDEX('Permission matrix'!$B$2:$J$56,MATCH($C12,'Permission matrix'!$A$2:$A$56,0),MATCH(E$1,'Permission matrix'!$B$1:$J$1,0))=1,"Yes","-"),"?")</f>
        <v/>
      </c>
      <c r="F12" s="8">
        <f>IFERROR(IF(INDEX('Permission matrix'!$B$2:$J$56,MATCH($C12,'Permission matrix'!$A$2:$A$56,0),MATCH(F$1,'Permission matrix'!$B$1:$J$1,0))=1,"Yes","-"),"?")</f>
        <v/>
      </c>
      <c r="G12" s="8">
        <f>IFERROR(IF(INDEX('Permission matrix'!$B$2:$J$56,MATCH($C12,'Permission matrix'!$A$2:$A$56,0),MATCH(G$1,'Permission matrix'!$B$1:$J$1,0))=1,"Yes","-"),"?")</f>
        <v/>
      </c>
      <c r="H12" s="8">
        <f>IFERROR(IF(INDEX('Permission matrix'!$B$2:$J$56,MATCH($C12,'Permission matrix'!$A$2:$A$56,0),MATCH(H$1,'Permission matrix'!$B$1:$J$1,0))=1,"Yes","-"),"?")</f>
        <v/>
      </c>
      <c r="I12" s="8">
        <f>IFERROR(IF(INDEX('Permission matrix'!$B$2:$J$56,MATCH($C12,'Permission matrix'!$A$2:$A$56,0),MATCH(I$1,'Permission matrix'!$B$1:$J$1,0))=1,"Yes","-"),"?")</f>
        <v/>
      </c>
      <c r="J12" s="8">
        <f>IFERROR(IF(INDEX('Permission matrix'!$B$2:$J$56,MATCH($C12,'Permission matrix'!$A$2:$A$56,0),MATCH(J$1,'Permission matrix'!$B$1:$J$1,0))=1,"Yes","-"),"?")</f>
        <v/>
      </c>
      <c r="K12" s="8">
        <f>IFERROR(IF(INDEX('Permission matrix'!$B$2:$J$56,MATCH($C12,'Permission matrix'!$A$2:$A$56,0),MATCH(K$1,'Permission matrix'!$B$1:$J$1,0))=1,"Yes","-"),"?")</f>
        <v/>
      </c>
      <c r="L12" s="8">
        <f>IFERROR(IF(INDEX('Permission matrix'!$B$2:$J$56,MATCH($C12,'Permission matrix'!$A$2:$A$56,0),MATCH(L$1,'Permission matrix'!$B$1:$J$1,0))=1,"Yes","-"),"?")</f>
        <v/>
      </c>
      <c r="M12" s="8">
        <f>IFERROR(IF(INDEX('Permission matrix'!$B$2:$J$56,MATCH($C12,'Permission matrix'!$A$2:$A$56,0),MATCH(M$1,'Permission matrix'!$B$1:$J$1,0))=1,"Yes","-"),"?")</f>
        <v/>
      </c>
    </row>
    <row r="13">
      <c r="A13" s="5" t="inlineStr">
        <is>
          <t>Customer management</t>
        </is>
      </c>
      <c r="B13" s="6" t="inlineStr">
        <is>
          <t>customer view</t>
        </is>
      </c>
      <c r="C13" s="6" t="inlineStr">
        <is>
          <t>customer.view</t>
        </is>
      </c>
      <c r="D13" s="7" t="inlineStr">
        <is>
          <t>See a customer's profile: their number, how often they have been, what they usually order and how they like it. Held by a waiter as well as a manager, because greeting a regular by name and remembering they eat no onion is the whole point of keeping the record - asking a regular for the fourth time whether they eat onion is a small insult, and remembering is a small delight. A person sees the customers of the restaurant they are working in, not the whole organization's.</t>
        </is>
      </c>
      <c r="E13" s="8">
        <f>IFERROR(IF(INDEX('Permission matrix'!$B$2:$J$56,MATCH($C13,'Permission matrix'!$A$2:$A$56,0),MATCH(E$1,'Permission matrix'!$B$1:$J$1,0))=1,"Yes","-"),"?")</f>
        <v/>
      </c>
      <c r="F13" s="8">
        <f>IFERROR(IF(INDEX('Permission matrix'!$B$2:$J$56,MATCH($C13,'Permission matrix'!$A$2:$A$56,0),MATCH(F$1,'Permission matrix'!$B$1:$J$1,0))=1,"Yes","-"),"?")</f>
        <v/>
      </c>
      <c r="G13" s="8">
        <f>IFERROR(IF(INDEX('Permission matrix'!$B$2:$J$56,MATCH($C13,'Permission matrix'!$A$2:$A$56,0),MATCH(G$1,'Permission matrix'!$B$1:$J$1,0))=1,"Yes","-"),"?")</f>
        <v/>
      </c>
      <c r="H13" s="8">
        <f>IFERROR(IF(INDEX('Permission matrix'!$B$2:$J$56,MATCH($C13,'Permission matrix'!$A$2:$A$56,0),MATCH(H$1,'Permission matrix'!$B$1:$J$1,0))=1,"Yes","-"),"?")</f>
        <v/>
      </c>
      <c r="I13" s="8">
        <f>IFERROR(IF(INDEX('Permission matrix'!$B$2:$J$56,MATCH($C13,'Permission matrix'!$A$2:$A$56,0),MATCH(I$1,'Permission matrix'!$B$1:$J$1,0))=1,"Yes","-"),"?")</f>
        <v/>
      </c>
      <c r="J13" s="8">
        <f>IFERROR(IF(INDEX('Permission matrix'!$B$2:$J$56,MATCH($C13,'Permission matrix'!$A$2:$A$56,0),MATCH(J$1,'Permission matrix'!$B$1:$J$1,0))=1,"Yes","-"),"?")</f>
        <v/>
      </c>
      <c r="K13" s="8">
        <f>IFERROR(IF(INDEX('Permission matrix'!$B$2:$J$56,MATCH($C13,'Permission matrix'!$A$2:$A$56,0),MATCH(K$1,'Permission matrix'!$B$1:$J$1,0))=1,"Yes","-"),"?")</f>
        <v/>
      </c>
      <c r="L13" s="8">
        <f>IFERROR(IF(INDEX('Permission matrix'!$B$2:$J$56,MATCH($C13,'Permission matrix'!$A$2:$A$56,0),MATCH(L$1,'Permission matrix'!$B$1:$J$1,0))=1,"Yes","-"),"?")</f>
        <v/>
      </c>
      <c r="M13" s="8">
        <f>IFERROR(IF(INDEX('Permission matrix'!$B$2:$J$56,MATCH($C13,'Permission matrix'!$A$2:$A$56,0),MATCH(M$1,'Permission matrix'!$B$1:$J$1,0))=1,"Yes","-"),"?")</f>
        <v/>
      </c>
    </row>
    <row r="14">
      <c r="A14" s="5" t="inlineStr">
        <is>
          <t>Customer management</t>
        </is>
      </c>
      <c r="B14" s="6" t="inlineStr">
        <is>
          <t>feedback view</t>
        </is>
      </c>
      <c r="C14" s="6" t="inlineStr">
        <is>
          <t>feedback.view</t>
        </is>
      </c>
      <c r="D14" s="7" t="inlineStr">
        <is>
          <t>Read what diners said: the three questions from the QR code on the bill, per order and per day. Held by a waiter deliberately - a rating is about a table they served, and somebody who cannot see how their service landed cannot improve it. What nobody can do is submit feedback on their own tables: that needs the token printed on the guest's bill.</t>
        </is>
      </c>
      <c r="E14" s="8">
        <f>IFERROR(IF(INDEX('Permission matrix'!$B$2:$J$56,MATCH($C14,'Permission matrix'!$A$2:$A$56,0),MATCH(E$1,'Permission matrix'!$B$1:$J$1,0))=1,"Yes","-"),"?")</f>
        <v/>
      </c>
      <c r="F14" s="8">
        <f>IFERROR(IF(INDEX('Permission matrix'!$B$2:$J$56,MATCH($C14,'Permission matrix'!$A$2:$A$56,0),MATCH(F$1,'Permission matrix'!$B$1:$J$1,0))=1,"Yes","-"),"?")</f>
        <v/>
      </c>
      <c r="G14" s="8">
        <f>IFERROR(IF(INDEX('Permission matrix'!$B$2:$J$56,MATCH($C14,'Permission matrix'!$A$2:$A$56,0),MATCH(G$1,'Permission matrix'!$B$1:$J$1,0))=1,"Yes","-"),"?")</f>
        <v/>
      </c>
      <c r="H14" s="8">
        <f>IFERROR(IF(INDEX('Permission matrix'!$B$2:$J$56,MATCH($C14,'Permission matrix'!$A$2:$A$56,0),MATCH(H$1,'Permission matrix'!$B$1:$J$1,0))=1,"Yes","-"),"?")</f>
        <v/>
      </c>
      <c r="I14" s="8">
        <f>IFERROR(IF(INDEX('Permission matrix'!$B$2:$J$56,MATCH($C14,'Permission matrix'!$A$2:$A$56,0),MATCH(I$1,'Permission matrix'!$B$1:$J$1,0))=1,"Yes","-"),"?")</f>
        <v/>
      </c>
      <c r="J14" s="8">
        <f>IFERROR(IF(INDEX('Permission matrix'!$B$2:$J$56,MATCH($C14,'Permission matrix'!$A$2:$A$56,0),MATCH(J$1,'Permission matrix'!$B$1:$J$1,0))=1,"Yes","-"),"?")</f>
        <v/>
      </c>
      <c r="K14" s="8">
        <f>IFERROR(IF(INDEX('Permission matrix'!$B$2:$J$56,MATCH($C14,'Permission matrix'!$A$2:$A$56,0),MATCH(K$1,'Permission matrix'!$B$1:$J$1,0))=1,"Yes","-"),"?")</f>
        <v/>
      </c>
      <c r="L14" s="8">
        <f>IFERROR(IF(INDEX('Permission matrix'!$B$2:$J$56,MATCH($C14,'Permission matrix'!$A$2:$A$56,0),MATCH(L$1,'Permission matrix'!$B$1:$J$1,0))=1,"Yes","-"),"?")</f>
        <v/>
      </c>
      <c r="M14" s="8">
        <f>IFERROR(IF(INDEX('Permission matrix'!$B$2:$J$56,MATCH($C14,'Permission matrix'!$A$2:$A$56,0),MATCH(M$1,'Permission matrix'!$B$1:$J$1,0))=1,"Yes","-"),"?")</f>
        <v/>
      </c>
    </row>
    <row r="15">
      <c r="A15" s="5" t="inlineStr">
        <is>
          <t>Inventory management</t>
        </is>
      </c>
      <c r="B15" s="6" t="inlineStr">
        <is>
          <t>stock adjust</t>
        </is>
      </c>
      <c r="C15" s="6" t="inlineStr">
        <is>
          <t>stock.adjust</t>
        </is>
      </c>
      <c r="D15" s="7" t="inlineStr">
        <is>
          <t>Post a correction to the ledger. The one movement nobody observed, which makes it the one an insider would use to erase a shortfall — so it always carries a reason and always writes an audit row.</t>
        </is>
      </c>
      <c r="E15" s="8">
        <f>IFERROR(IF(INDEX('Permission matrix'!$B$2:$J$56,MATCH($C15,'Permission matrix'!$A$2:$A$56,0),MATCH(E$1,'Permission matrix'!$B$1:$J$1,0))=1,"Yes","-"),"?")</f>
        <v/>
      </c>
      <c r="F15" s="8">
        <f>IFERROR(IF(INDEX('Permission matrix'!$B$2:$J$56,MATCH($C15,'Permission matrix'!$A$2:$A$56,0),MATCH(F$1,'Permission matrix'!$B$1:$J$1,0))=1,"Yes","-"),"?")</f>
        <v/>
      </c>
      <c r="G15" s="8">
        <f>IFERROR(IF(INDEX('Permission matrix'!$B$2:$J$56,MATCH($C15,'Permission matrix'!$A$2:$A$56,0),MATCH(G$1,'Permission matrix'!$B$1:$J$1,0))=1,"Yes","-"),"?")</f>
        <v/>
      </c>
      <c r="H15" s="8">
        <f>IFERROR(IF(INDEX('Permission matrix'!$B$2:$J$56,MATCH($C15,'Permission matrix'!$A$2:$A$56,0),MATCH(H$1,'Permission matrix'!$B$1:$J$1,0))=1,"Yes","-"),"?")</f>
        <v/>
      </c>
      <c r="I15" s="8">
        <f>IFERROR(IF(INDEX('Permission matrix'!$B$2:$J$56,MATCH($C15,'Permission matrix'!$A$2:$A$56,0),MATCH(I$1,'Permission matrix'!$B$1:$J$1,0))=1,"Yes","-"),"?")</f>
        <v/>
      </c>
      <c r="J15" s="8">
        <f>IFERROR(IF(INDEX('Permission matrix'!$B$2:$J$56,MATCH($C15,'Permission matrix'!$A$2:$A$56,0),MATCH(J$1,'Permission matrix'!$B$1:$J$1,0))=1,"Yes","-"),"?")</f>
        <v/>
      </c>
      <c r="K15" s="8">
        <f>IFERROR(IF(INDEX('Permission matrix'!$B$2:$J$56,MATCH($C15,'Permission matrix'!$A$2:$A$56,0),MATCH(K$1,'Permission matrix'!$B$1:$J$1,0))=1,"Yes","-"),"?")</f>
        <v/>
      </c>
      <c r="L15" s="8">
        <f>IFERROR(IF(INDEX('Permission matrix'!$B$2:$J$56,MATCH($C15,'Permission matrix'!$A$2:$A$56,0),MATCH(L$1,'Permission matrix'!$B$1:$J$1,0))=1,"Yes","-"),"?")</f>
        <v/>
      </c>
      <c r="M15" s="8">
        <f>IFERROR(IF(INDEX('Permission matrix'!$B$2:$J$56,MATCH($C15,'Permission matrix'!$A$2:$A$56,0),MATCH(M$1,'Permission matrix'!$B$1:$J$1,0))=1,"Yes","-"),"?")</f>
        <v/>
      </c>
    </row>
    <row r="16">
      <c r="A16" s="5" t="inlineStr">
        <is>
          <t>Inventory management</t>
        </is>
      </c>
      <c r="B16" s="6" t="inlineStr">
        <is>
          <t>stock count</t>
        </is>
      </c>
      <c r="C16" s="6" t="inlineStr">
        <is>
          <t>stock.count</t>
        </is>
      </c>
      <c r="D16" s="7" t="inlineStr">
        <is>
          <t>Open a count sheet, record what is on the shelf, and approve the result. Approval is what posts the corrections, and the service refuses an approver who is also the counter — a control carried by a CHECK constraint as well, so it holds for a path that forgets to ask.</t>
        </is>
      </c>
      <c r="E16" s="8">
        <f>IFERROR(IF(INDEX('Permission matrix'!$B$2:$J$56,MATCH($C16,'Permission matrix'!$A$2:$A$56,0),MATCH(E$1,'Permission matrix'!$B$1:$J$1,0))=1,"Yes","-"),"?")</f>
        <v/>
      </c>
      <c r="F16" s="8">
        <f>IFERROR(IF(INDEX('Permission matrix'!$B$2:$J$56,MATCH($C16,'Permission matrix'!$A$2:$A$56,0),MATCH(F$1,'Permission matrix'!$B$1:$J$1,0))=1,"Yes","-"),"?")</f>
        <v/>
      </c>
      <c r="G16" s="8">
        <f>IFERROR(IF(INDEX('Permission matrix'!$B$2:$J$56,MATCH($C16,'Permission matrix'!$A$2:$A$56,0),MATCH(G$1,'Permission matrix'!$B$1:$J$1,0))=1,"Yes","-"),"?")</f>
        <v/>
      </c>
      <c r="H16" s="8">
        <f>IFERROR(IF(INDEX('Permission matrix'!$B$2:$J$56,MATCH($C16,'Permission matrix'!$A$2:$A$56,0),MATCH(H$1,'Permission matrix'!$B$1:$J$1,0))=1,"Yes","-"),"?")</f>
        <v/>
      </c>
      <c r="I16" s="8">
        <f>IFERROR(IF(INDEX('Permission matrix'!$B$2:$J$56,MATCH($C16,'Permission matrix'!$A$2:$A$56,0),MATCH(I$1,'Permission matrix'!$B$1:$J$1,0))=1,"Yes","-"),"?")</f>
        <v/>
      </c>
      <c r="J16" s="8">
        <f>IFERROR(IF(INDEX('Permission matrix'!$B$2:$J$56,MATCH($C16,'Permission matrix'!$A$2:$A$56,0),MATCH(J$1,'Permission matrix'!$B$1:$J$1,0))=1,"Yes","-"),"?")</f>
        <v/>
      </c>
      <c r="K16" s="8">
        <f>IFERROR(IF(INDEX('Permission matrix'!$B$2:$J$56,MATCH($C16,'Permission matrix'!$A$2:$A$56,0),MATCH(K$1,'Permission matrix'!$B$1:$J$1,0))=1,"Yes","-"),"?")</f>
        <v/>
      </c>
      <c r="L16" s="8">
        <f>IFERROR(IF(INDEX('Permission matrix'!$B$2:$J$56,MATCH($C16,'Permission matrix'!$A$2:$A$56,0),MATCH(L$1,'Permission matrix'!$B$1:$J$1,0))=1,"Yes","-"),"?")</f>
        <v/>
      </c>
      <c r="M16" s="8">
        <f>IFERROR(IF(INDEX('Permission matrix'!$B$2:$J$56,MATCH($C16,'Permission matrix'!$A$2:$A$56,0),MATCH(M$1,'Permission matrix'!$B$1:$J$1,0))=1,"Yes","-"),"?")</f>
        <v/>
      </c>
    </row>
    <row r="17">
      <c r="A17" s="5" t="inlineStr">
        <is>
          <t>Inventory management</t>
        </is>
      </c>
      <c r="B17" s="6" t="inlineStr">
        <is>
          <t>stock produce</t>
        </is>
      </c>
      <c r="C17" s="6" t="inlineStr">
        <is>
          <t>stock.produce</t>
        </is>
      </c>
      <c r="D17" s="7" t="inlineStr">
        <is>
          <t>Make a preparation batch, consuming its inputs. The chef holds this and not stock.receive: a kitchen turns ingredients into gravy, it does not sign for the sack.</t>
        </is>
      </c>
      <c r="E17" s="8">
        <f>IFERROR(IF(INDEX('Permission matrix'!$B$2:$J$56,MATCH($C17,'Permission matrix'!$A$2:$A$56,0),MATCH(E$1,'Permission matrix'!$B$1:$J$1,0))=1,"Yes","-"),"?")</f>
        <v/>
      </c>
      <c r="F17" s="8">
        <f>IFERROR(IF(INDEX('Permission matrix'!$B$2:$J$56,MATCH($C17,'Permission matrix'!$A$2:$A$56,0),MATCH(F$1,'Permission matrix'!$B$1:$J$1,0))=1,"Yes","-"),"?")</f>
        <v/>
      </c>
      <c r="G17" s="8">
        <f>IFERROR(IF(INDEX('Permission matrix'!$B$2:$J$56,MATCH($C17,'Permission matrix'!$A$2:$A$56,0),MATCH(G$1,'Permission matrix'!$B$1:$J$1,0))=1,"Yes","-"),"?")</f>
        <v/>
      </c>
      <c r="H17" s="8">
        <f>IFERROR(IF(INDEX('Permission matrix'!$B$2:$J$56,MATCH($C17,'Permission matrix'!$A$2:$A$56,0),MATCH(H$1,'Permission matrix'!$B$1:$J$1,0))=1,"Yes","-"),"?")</f>
        <v/>
      </c>
      <c r="I17" s="8">
        <f>IFERROR(IF(INDEX('Permission matrix'!$B$2:$J$56,MATCH($C17,'Permission matrix'!$A$2:$A$56,0),MATCH(I$1,'Permission matrix'!$B$1:$J$1,0))=1,"Yes","-"),"?")</f>
        <v/>
      </c>
      <c r="J17" s="8">
        <f>IFERROR(IF(INDEX('Permission matrix'!$B$2:$J$56,MATCH($C17,'Permission matrix'!$A$2:$A$56,0),MATCH(J$1,'Permission matrix'!$B$1:$J$1,0))=1,"Yes","-"),"?")</f>
        <v/>
      </c>
      <c r="K17" s="8">
        <f>IFERROR(IF(INDEX('Permission matrix'!$B$2:$J$56,MATCH($C17,'Permission matrix'!$A$2:$A$56,0),MATCH(K$1,'Permission matrix'!$B$1:$J$1,0))=1,"Yes","-"),"?")</f>
        <v/>
      </c>
      <c r="L17" s="8">
        <f>IFERROR(IF(INDEX('Permission matrix'!$B$2:$J$56,MATCH($C17,'Permission matrix'!$A$2:$A$56,0),MATCH(L$1,'Permission matrix'!$B$1:$J$1,0))=1,"Yes","-"),"?")</f>
        <v/>
      </c>
      <c r="M17" s="8">
        <f>IFERROR(IF(INDEX('Permission matrix'!$B$2:$J$56,MATCH($C17,'Permission matrix'!$A$2:$A$56,0),MATCH(M$1,'Permission matrix'!$B$1:$J$1,0))=1,"Yes","-"),"?")</f>
        <v/>
      </c>
    </row>
    <row r="18">
      <c r="A18" s="5" t="inlineStr">
        <is>
          <t>Inventory management</t>
        </is>
      </c>
      <c r="B18" s="6" t="inlineStr">
        <is>
          <t>stock receive</t>
        </is>
      </c>
      <c r="C18" s="6" t="inlineStr">
        <is>
          <t>stock.receive</t>
        </is>
      </c>
      <c r="D18" s="7" t="inlineStr">
        <is>
          <t>Record a delivery arriving. Held by the store manager, who takes the delivery, and by the manager and owner above them.</t>
        </is>
      </c>
      <c r="E18" s="8">
        <f>IFERROR(IF(INDEX('Permission matrix'!$B$2:$J$56,MATCH($C18,'Permission matrix'!$A$2:$A$56,0),MATCH(E$1,'Permission matrix'!$B$1:$J$1,0))=1,"Yes","-"),"?")</f>
        <v/>
      </c>
      <c r="F18" s="8">
        <f>IFERROR(IF(INDEX('Permission matrix'!$B$2:$J$56,MATCH($C18,'Permission matrix'!$A$2:$A$56,0),MATCH(F$1,'Permission matrix'!$B$1:$J$1,0))=1,"Yes","-"),"?")</f>
        <v/>
      </c>
      <c r="G18" s="8">
        <f>IFERROR(IF(INDEX('Permission matrix'!$B$2:$J$56,MATCH($C18,'Permission matrix'!$A$2:$A$56,0),MATCH(G$1,'Permission matrix'!$B$1:$J$1,0))=1,"Yes","-"),"?")</f>
        <v/>
      </c>
      <c r="H18" s="8">
        <f>IFERROR(IF(INDEX('Permission matrix'!$B$2:$J$56,MATCH($C18,'Permission matrix'!$A$2:$A$56,0),MATCH(H$1,'Permission matrix'!$B$1:$J$1,0))=1,"Yes","-"),"?")</f>
        <v/>
      </c>
      <c r="I18" s="8">
        <f>IFERROR(IF(INDEX('Permission matrix'!$B$2:$J$56,MATCH($C18,'Permission matrix'!$A$2:$A$56,0),MATCH(I$1,'Permission matrix'!$B$1:$J$1,0))=1,"Yes","-"),"?")</f>
        <v/>
      </c>
      <c r="J18" s="8">
        <f>IFERROR(IF(INDEX('Permission matrix'!$B$2:$J$56,MATCH($C18,'Permission matrix'!$A$2:$A$56,0),MATCH(J$1,'Permission matrix'!$B$1:$J$1,0))=1,"Yes","-"),"?")</f>
        <v/>
      </c>
      <c r="K18" s="8">
        <f>IFERROR(IF(INDEX('Permission matrix'!$B$2:$J$56,MATCH($C18,'Permission matrix'!$A$2:$A$56,0),MATCH(K$1,'Permission matrix'!$B$1:$J$1,0))=1,"Yes","-"),"?")</f>
        <v/>
      </c>
      <c r="L18" s="8">
        <f>IFERROR(IF(INDEX('Permission matrix'!$B$2:$J$56,MATCH($C18,'Permission matrix'!$A$2:$A$56,0),MATCH(L$1,'Permission matrix'!$B$1:$J$1,0))=1,"Yes","-"),"?")</f>
        <v/>
      </c>
      <c r="M18" s="8">
        <f>IFERROR(IF(INDEX('Permission matrix'!$B$2:$J$56,MATCH($C18,'Permission matrix'!$A$2:$A$56,0),MATCH(M$1,'Permission matrix'!$B$1:$J$1,0))=1,"Yes","-"),"?")</f>
        <v/>
      </c>
    </row>
    <row r="19">
      <c r="A19" s="5" t="inlineStr">
        <is>
          <t>Inventory management</t>
        </is>
      </c>
      <c r="B19" s="6" t="inlineStr">
        <is>
          <t>stock view</t>
        </is>
      </c>
      <c r="C19" s="6" t="inlineStr">
        <is>
          <t>stock.view</t>
        </is>
      </c>
      <c r="D19" s="7" t="inlineStr">
        <is>
          <t>See what is on hand, what is expiring, and the movements behind both. Read-only: it shows the position, it cannot change it.</t>
        </is>
      </c>
      <c r="E19" s="8">
        <f>IFERROR(IF(INDEX('Permission matrix'!$B$2:$J$56,MATCH($C19,'Permission matrix'!$A$2:$A$56,0),MATCH(E$1,'Permission matrix'!$B$1:$J$1,0))=1,"Yes","-"),"?")</f>
        <v/>
      </c>
      <c r="F19" s="8">
        <f>IFERROR(IF(INDEX('Permission matrix'!$B$2:$J$56,MATCH($C19,'Permission matrix'!$A$2:$A$56,0),MATCH(F$1,'Permission matrix'!$B$1:$J$1,0))=1,"Yes","-"),"?")</f>
        <v/>
      </c>
      <c r="G19" s="8">
        <f>IFERROR(IF(INDEX('Permission matrix'!$B$2:$J$56,MATCH($C19,'Permission matrix'!$A$2:$A$56,0),MATCH(G$1,'Permission matrix'!$B$1:$J$1,0))=1,"Yes","-"),"?")</f>
        <v/>
      </c>
      <c r="H19" s="8">
        <f>IFERROR(IF(INDEX('Permission matrix'!$B$2:$J$56,MATCH($C19,'Permission matrix'!$A$2:$A$56,0),MATCH(H$1,'Permission matrix'!$B$1:$J$1,0))=1,"Yes","-"),"?")</f>
        <v/>
      </c>
      <c r="I19" s="8">
        <f>IFERROR(IF(INDEX('Permission matrix'!$B$2:$J$56,MATCH($C19,'Permission matrix'!$A$2:$A$56,0),MATCH(I$1,'Permission matrix'!$B$1:$J$1,0))=1,"Yes","-"),"?")</f>
        <v/>
      </c>
      <c r="J19" s="8">
        <f>IFERROR(IF(INDEX('Permission matrix'!$B$2:$J$56,MATCH($C19,'Permission matrix'!$A$2:$A$56,0),MATCH(J$1,'Permission matrix'!$B$1:$J$1,0))=1,"Yes","-"),"?")</f>
        <v/>
      </c>
      <c r="K19" s="8">
        <f>IFERROR(IF(INDEX('Permission matrix'!$B$2:$J$56,MATCH($C19,'Permission matrix'!$A$2:$A$56,0),MATCH(K$1,'Permission matrix'!$B$1:$J$1,0))=1,"Yes","-"),"?")</f>
        <v/>
      </c>
      <c r="L19" s="8">
        <f>IFERROR(IF(INDEX('Permission matrix'!$B$2:$J$56,MATCH($C19,'Permission matrix'!$A$2:$A$56,0),MATCH(L$1,'Permission matrix'!$B$1:$J$1,0))=1,"Yes","-"),"?")</f>
        <v/>
      </c>
      <c r="M19" s="8">
        <f>IFERROR(IF(INDEX('Permission matrix'!$B$2:$J$56,MATCH($C19,'Permission matrix'!$A$2:$A$56,0),MATCH(M$1,'Permission matrix'!$B$1:$J$1,0))=1,"Yes","-"),"?")</f>
        <v/>
      </c>
    </row>
    <row r="20">
      <c r="A20" s="5" t="inlineStr">
        <is>
          <t>Kitchen operations</t>
        </is>
      </c>
      <c r="B20" s="6" t="inlineStr">
        <is>
          <t>kot update</t>
        </is>
      </c>
      <c r="C20" s="6" t="inlineStr">
        <is>
          <t>kot.update</t>
        </is>
      </c>
      <c r="D20" s="7" t="inlineStr">
        <is>
          <t>Move a ticket through the kitchen - acknowledge it, start it, mark it ready - and ask for a remake with a reason. It never marks anything served: a dish is served when it reaches a table, which the kitchen cannot see, so that is written from the order screen by whoever carried it.</t>
        </is>
      </c>
      <c r="E20" s="8">
        <f>IFERROR(IF(INDEX('Permission matrix'!$B$2:$J$56,MATCH($C20,'Permission matrix'!$A$2:$A$56,0),MATCH(E$1,'Permission matrix'!$B$1:$J$1,0))=1,"Yes","-"),"?")</f>
        <v/>
      </c>
      <c r="F20" s="8">
        <f>IFERROR(IF(INDEX('Permission matrix'!$B$2:$J$56,MATCH($C20,'Permission matrix'!$A$2:$A$56,0),MATCH(F$1,'Permission matrix'!$B$1:$J$1,0))=1,"Yes","-"),"?")</f>
        <v/>
      </c>
      <c r="G20" s="8">
        <f>IFERROR(IF(INDEX('Permission matrix'!$B$2:$J$56,MATCH($C20,'Permission matrix'!$A$2:$A$56,0),MATCH(G$1,'Permission matrix'!$B$1:$J$1,0))=1,"Yes","-"),"?")</f>
        <v/>
      </c>
      <c r="H20" s="8">
        <f>IFERROR(IF(INDEX('Permission matrix'!$B$2:$J$56,MATCH($C20,'Permission matrix'!$A$2:$A$56,0),MATCH(H$1,'Permission matrix'!$B$1:$J$1,0))=1,"Yes","-"),"?")</f>
        <v/>
      </c>
      <c r="I20" s="8">
        <f>IFERROR(IF(INDEX('Permission matrix'!$B$2:$J$56,MATCH($C20,'Permission matrix'!$A$2:$A$56,0),MATCH(I$1,'Permission matrix'!$B$1:$J$1,0))=1,"Yes","-"),"?")</f>
        <v/>
      </c>
      <c r="J20" s="8">
        <f>IFERROR(IF(INDEX('Permission matrix'!$B$2:$J$56,MATCH($C20,'Permission matrix'!$A$2:$A$56,0),MATCH(J$1,'Permission matrix'!$B$1:$J$1,0))=1,"Yes","-"),"?")</f>
        <v/>
      </c>
      <c r="K20" s="8">
        <f>IFERROR(IF(INDEX('Permission matrix'!$B$2:$J$56,MATCH($C20,'Permission matrix'!$A$2:$A$56,0),MATCH(K$1,'Permission matrix'!$B$1:$J$1,0))=1,"Yes","-"),"?")</f>
        <v/>
      </c>
      <c r="L20" s="8">
        <f>IFERROR(IF(INDEX('Permission matrix'!$B$2:$J$56,MATCH($C20,'Permission matrix'!$A$2:$A$56,0),MATCH(L$1,'Permission matrix'!$B$1:$J$1,0))=1,"Yes","-"),"?")</f>
        <v/>
      </c>
      <c r="M20" s="8">
        <f>IFERROR(IF(INDEX('Permission matrix'!$B$2:$J$56,MATCH($C20,'Permission matrix'!$A$2:$A$56,0),MATCH(M$1,'Permission matrix'!$B$1:$J$1,0))=1,"Yes","-"),"?")</f>
        <v/>
      </c>
    </row>
    <row r="21">
      <c r="A21" s="5" t="inlineStr">
        <is>
          <t>Kitchen operations</t>
        </is>
      </c>
      <c r="B21" s="6" t="inlineStr">
        <is>
          <t>kot view</t>
        </is>
      </c>
      <c r="C21" s="6" t="inlineStr">
        <is>
          <t>kot.view</t>
        </is>
      </c>
      <c r="D21" s="7" t="inlineStr">
        <is>
          <t>See the kitchen display: what each station has to cook, how long each ticket has been waiting, and which are late. A waiter holds this and not kot.update, which is the design's own line - the floor watches the kitchen and does not drive it.</t>
        </is>
      </c>
      <c r="E21" s="8">
        <f>IFERROR(IF(INDEX('Permission matrix'!$B$2:$J$56,MATCH($C21,'Permission matrix'!$A$2:$A$56,0),MATCH(E$1,'Permission matrix'!$B$1:$J$1,0))=1,"Yes","-"),"?")</f>
        <v/>
      </c>
      <c r="F21" s="8">
        <f>IFERROR(IF(INDEX('Permission matrix'!$B$2:$J$56,MATCH($C21,'Permission matrix'!$A$2:$A$56,0),MATCH(F$1,'Permission matrix'!$B$1:$J$1,0))=1,"Yes","-"),"?")</f>
        <v/>
      </c>
      <c r="G21" s="8">
        <f>IFERROR(IF(INDEX('Permission matrix'!$B$2:$J$56,MATCH($C21,'Permission matrix'!$A$2:$A$56,0),MATCH(G$1,'Permission matrix'!$B$1:$J$1,0))=1,"Yes","-"),"?")</f>
        <v/>
      </c>
      <c r="H21" s="8">
        <f>IFERROR(IF(INDEX('Permission matrix'!$B$2:$J$56,MATCH($C21,'Permission matrix'!$A$2:$A$56,0),MATCH(H$1,'Permission matrix'!$B$1:$J$1,0))=1,"Yes","-"),"?")</f>
        <v/>
      </c>
      <c r="I21" s="8">
        <f>IFERROR(IF(INDEX('Permission matrix'!$B$2:$J$56,MATCH($C21,'Permission matrix'!$A$2:$A$56,0),MATCH(I$1,'Permission matrix'!$B$1:$J$1,0))=1,"Yes","-"),"?")</f>
        <v/>
      </c>
      <c r="J21" s="8">
        <f>IFERROR(IF(INDEX('Permission matrix'!$B$2:$J$56,MATCH($C21,'Permission matrix'!$A$2:$A$56,0),MATCH(J$1,'Permission matrix'!$B$1:$J$1,0))=1,"Yes","-"),"?")</f>
        <v/>
      </c>
      <c r="K21" s="8">
        <f>IFERROR(IF(INDEX('Permission matrix'!$B$2:$J$56,MATCH($C21,'Permission matrix'!$A$2:$A$56,0),MATCH(K$1,'Permission matrix'!$B$1:$J$1,0))=1,"Yes","-"),"?")</f>
        <v/>
      </c>
      <c r="L21" s="8">
        <f>IFERROR(IF(INDEX('Permission matrix'!$B$2:$J$56,MATCH($C21,'Permission matrix'!$A$2:$A$56,0),MATCH(L$1,'Permission matrix'!$B$1:$J$1,0))=1,"Yes","-"),"?")</f>
        <v/>
      </c>
      <c r="M21" s="8">
        <f>IFERROR(IF(INDEX('Permission matrix'!$B$2:$J$56,MATCH($C21,'Permission matrix'!$A$2:$A$56,0),MATCH(M$1,'Permission matrix'!$B$1:$J$1,0))=1,"Yes","-"),"?")</f>
        <v/>
      </c>
    </row>
    <row r="22">
      <c r="A22" s="5" t="inlineStr">
        <is>
          <t>Menu setting</t>
        </is>
      </c>
      <c r="B22" s="6" t="inlineStr">
        <is>
          <t>menu manage</t>
        </is>
      </c>
      <c r="C22" s="6" t="inlineStr">
        <is>
          <t>menu.manage</t>
        </is>
      </c>
      <c r="D22" s="7" t="inlineStr">
        <is>
          <t>Create and change categories, dishes, variants and modifiers — everything about the menu except what it costs.</t>
        </is>
      </c>
      <c r="E22" s="8">
        <f>IFERROR(IF(INDEX('Permission matrix'!$B$2:$J$56,MATCH($C22,'Permission matrix'!$A$2:$A$56,0),MATCH(E$1,'Permission matrix'!$B$1:$J$1,0))=1,"Yes","-"),"?")</f>
        <v/>
      </c>
      <c r="F22" s="8">
        <f>IFERROR(IF(INDEX('Permission matrix'!$B$2:$J$56,MATCH($C22,'Permission matrix'!$A$2:$A$56,0),MATCH(F$1,'Permission matrix'!$B$1:$J$1,0))=1,"Yes","-"),"?")</f>
        <v/>
      </c>
      <c r="G22" s="8">
        <f>IFERROR(IF(INDEX('Permission matrix'!$B$2:$J$56,MATCH($C22,'Permission matrix'!$A$2:$A$56,0),MATCH(G$1,'Permission matrix'!$B$1:$J$1,0))=1,"Yes","-"),"?")</f>
        <v/>
      </c>
      <c r="H22" s="8">
        <f>IFERROR(IF(INDEX('Permission matrix'!$B$2:$J$56,MATCH($C22,'Permission matrix'!$A$2:$A$56,0),MATCH(H$1,'Permission matrix'!$B$1:$J$1,0))=1,"Yes","-"),"?")</f>
        <v/>
      </c>
      <c r="I22" s="8">
        <f>IFERROR(IF(INDEX('Permission matrix'!$B$2:$J$56,MATCH($C22,'Permission matrix'!$A$2:$A$56,0),MATCH(I$1,'Permission matrix'!$B$1:$J$1,0))=1,"Yes","-"),"?")</f>
        <v/>
      </c>
      <c r="J22" s="8">
        <f>IFERROR(IF(INDEX('Permission matrix'!$B$2:$J$56,MATCH($C22,'Permission matrix'!$A$2:$A$56,0),MATCH(J$1,'Permission matrix'!$B$1:$J$1,0))=1,"Yes","-"),"?")</f>
        <v/>
      </c>
      <c r="K22" s="8">
        <f>IFERROR(IF(INDEX('Permission matrix'!$B$2:$J$56,MATCH($C22,'Permission matrix'!$A$2:$A$56,0),MATCH(K$1,'Permission matrix'!$B$1:$J$1,0))=1,"Yes","-"),"?")</f>
        <v/>
      </c>
      <c r="L22" s="8">
        <f>IFERROR(IF(INDEX('Permission matrix'!$B$2:$J$56,MATCH($C22,'Permission matrix'!$A$2:$A$56,0),MATCH(L$1,'Permission matrix'!$B$1:$J$1,0))=1,"Yes","-"),"?")</f>
        <v/>
      </c>
      <c r="M22" s="8">
        <f>IFERROR(IF(INDEX('Permission matrix'!$B$2:$J$56,MATCH($C22,'Permission matrix'!$A$2:$A$56,0),MATCH(M$1,'Permission matrix'!$B$1:$J$1,0))=1,"Yes","-"),"?")</f>
        <v/>
      </c>
    </row>
    <row r="23">
      <c r="A23" s="5" t="inlineStr">
        <is>
          <t>Menu setting</t>
        </is>
      </c>
      <c r="B23" s="6" t="inlineStr">
        <is>
          <t>menu price</t>
        </is>
      </c>
      <c r="C23" s="6" t="inlineStr">
        <is>
          <t>menu.price</t>
        </is>
      </c>
      <c r="D23" s="7" t="inlineStr">
        <is>
          <t>Set a variant's price and its tax group. Separate from menu.manage because it is the money path: seed/organization.yaml withholds it from a manager by name.</t>
        </is>
      </c>
      <c r="E23" s="8">
        <f>IFERROR(IF(INDEX('Permission matrix'!$B$2:$J$56,MATCH($C23,'Permission matrix'!$A$2:$A$56,0),MATCH(E$1,'Permission matrix'!$B$1:$J$1,0))=1,"Yes","-"),"?")</f>
        <v/>
      </c>
      <c r="F23" s="8">
        <f>IFERROR(IF(INDEX('Permission matrix'!$B$2:$J$56,MATCH($C23,'Permission matrix'!$A$2:$A$56,0),MATCH(F$1,'Permission matrix'!$B$1:$J$1,0))=1,"Yes","-"),"?")</f>
        <v/>
      </c>
      <c r="G23" s="8">
        <f>IFERROR(IF(INDEX('Permission matrix'!$B$2:$J$56,MATCH($C23,'Permission matrix'!$A$2:$A$56,0),MATCH(G$1,'Permission matrix'!$B$1:$J$1,0))=1,"Yes","-"),"?")</f>
        <v/>
      </c>
      <c r="H23" s="8">
        <f>IFERROR(IF(INDEX('Permission matrix'!$B$2:$J$56,MATCH($C23,'Permission matrix'!$A$2:$A$56,0),MATCH(H$1,'Permission matrix'!$B$1:$J$1,0))=1,"Yes","-"),"?")</f>
        <v/>
      </c>
      <c r="I23" s="8">
        <f>IFERROR(IF(INDEX('Permission matrix'!$B$2:$J$56,MATCH($C23,'Permission matrix'!$A$2:$A$56,0),MATCH(I$1,'Permission matrix'!$B$1:$J$1,0))=1,"Yes","-"),"?")</f>
        <v/>
      </c>
      <c r="J23" s="8">
        <f>IFERROR(IF(INDEX('Permission matrix'!$B$2:$J$56,MATCH($C23,'Permission matrix'!$A$2:$A$56,0),MATCH(J$1,'Permission matrix'!$B$1:$J$1,0))=1,"Yes","-"),"?")</f>
        <v/>
      </c>
      <c r="K23" s="8">
        <f>IFERROR(IF(INDEX('Permission matrix'!$B$2:$J$56,MATCH($C23,'Permission matrix'!$A$2:$A$56,0),MATCH(K$1,'Permission matrix'!$B$1:$J$1,0))=1,"Yes","-"),"?")</f>
        <v/>
      </c>
      <c r="L23" s="8">
        <f>IFERROR(IF(INDEX('Permission matrix'!$B$2:$J$56,MATCH($C23,'Permission matrix'!$A$2:$A$56,0),MATCH(L$1,'Permission matrix'!$B$1:$J$1,0))=1,"Yes","-"),"?")</f>
        <v/>
      </c>
      <c r="M23" s="8">
        <f>IFERROR(IF(INDEX('Permission matrix'!$B$2:$J$56,MATCH($C23,'Permission matrix'!$A$2:$A$56,0),MATCH(M$1,'Permission matrix'!$B$1:$J$1,0))=1,"Yes","-"),"?")</f>
        <v/>
      </c>
    </row>
    <row r="24">
      <c r="A24" s="5" t="inlineStr">
        <is>
          <t>Menu setting</t>
        </is>
      </c>
      <c r="B24" s="6" t="inlineStr">
        <is>
          <t>menu view</t>
        </is>
      </c>
      <c r="C24" s="6" t="inlineStr">
        <is>
          <t>menu.view</t>
        </is>
      </c>
      <c r="D24" s="7" t="inlineStr">
        <is>
          <t>Read the menu: categories, dishes, variants and modifiers. A waiter cannot take an order without it.</t>
        </is>
      </c>
      <c r="E24" s="8">
        <f>IFERROR(IF(INDEX('Permission matrix'!$B$2:$J$56,MATCH($C24,'Permission matrix'!$A$2:$A$56,0),MATCH(E$1,'Permission matrix'!$B$1:$J$1,0))=1,"Yes","-"),"?")</f>
        <v/>
      </c>
      <c r="F24" s="8">
        <f>IFERROR(IF(INDEX('Permission matrix'!$B$2:$J$56,MATCH($C24,'Permission matrix'!$A$2:$A$56,0),MATCH(F$1,'Permission matrix'!$B$1:$J$1,0))=1,"Yes","-"),"?")</f>
        <v/>
      </c>
      <c r="G24" s="8">
        <f>IFERROR(IF(INDEX('Permission matrix'!$B$2:$J$56,MATCH($C24,'Permission matrix'!$A$2:$A$56,0),MATCH(G$1,'Permission matrix'!$B$1:$J$1,0))=1,"Yes","-"),"?")</f>
        <v/>
      </c>
      <c r="H24" s="8">
        <f>IFERROR(IF(INDEX('Permission matrix'!$B$2:$J$56,MATCH($C24,'Permission matrix'!$A$2:$A$56,0),MATCH(H$1,'Permission matrix'!$B$1:$J$1,0))=1,"Yes","-"),"?")</f>
        <v/>
      </c>
      <c r="I24" s="8">
        <f>IFERROR(IF(INDEX('Permission matrix'!$B$2:$J$56,MATCH($C24,'Permission matrix'!$A$2:$A$56,0),MATCH(I$1,'Permission matrix'!$B$1:$J$1,0))=1,"Yes","-"),"?")</f>
        <v/>
      </c>
      <c r="J24" s="8">
        <f>IFERROR(IF(INDEX('Permission matrix'!$B$2:$J$56,MATCH($C24,'Permission matrix'!$A$2:$A$56,0),MATCH(J$1,'Permission matrix'!$B$1:$J$1,0))=1,"Yes","-"),"?")</f>
        <v/>
      </c>
      <c r="K24" s="8">
        <f>IFERROR(IF(INDEX('Permission matrix'!$B$2:$J$56,MATCH($C24,'Permission matrix'!$A$2:$A$56,0),MATCH(K$1,'Permission matrix'!$B$1:$J$1,0))=1,"Yes","-"),"?")</f>
        <v/>
      </c>
      <c r="L24" s="8">
        <f>IFERROR(IF(INDEX('Permission matrix'!$B$2:$J$56,MATCH($C24,'Permission matrix'!$A$2:$A$56,0),MATCH(L$1,'Permission matrix'!$B$1:$J$1,0))=1,"Yes","-"),"?")</f>
        <v/>
      </c>
      <c r="M24" s="8">
        <f>IFERROR(IF(INDEX('Permission matrix'!$B$2:$J$56,MATCH($C24,'Permission matrix'!$A$2:$A$56,0),MATCH(M$1,'Permission matrix'!$B$1:$J$1,0))=1,"Yes","-"),"?")</f>
        <v/>
      </c>
    </row>
    <row r="25">
      <c r="A25" s="5" t="inlineStr">
        <is>
          <t>Orders &amp; billing</t>
        </is>
      </c>
      <c r="B25" s="6" t="inlineStr">
        <is>
          <t>cash manage</t>
        </is>
      </c>
      <c r="C25" s="6" t="inlineStr">
        <is>
          <t>cash.manage</t>
        </is>
      </c>
      <c r="D25" s="7" t="inlineStr">
        <is>
          <t>Open and close the till, count the cash, and record payouts and post-close adjustments. Added to the P1 design by the M07 spec: a waiter takes cash and never closes the till that cash went into.</t>
        </is>
      </c>
      <c r="E25" s="8">
        <f>IFERROR(IF(INDEX('Permission matrix'!$B$2:$J$56,MATCH($C25,'Permission matrix'!$A$2:$A$56,0),MATCH(E$1,'Permission matrix'!$B$1:$J$1,0))=1,"Yes","-"),"?")</f>
        <v/>
      </c>
      <c r="F25" s="8">
        <f>IFERROR(IF(INDEX('Permission matrix'!$B$2:$J$56,MATCH($C25,'Permission matrix'!$A$2:$A$56,0),MATCH(F$1,'Permission matrix'!$B$1:$J$1,0))=1,"Yes","-"),"?")</f>
        <v/>
      </c>
      <c r="G25" s="8">
        <f>IFERROR(IF(INDEX('Permission matrix'!$B$2:$J$56,MATCH($C25,'Permission matrix'!$A$2:$A$56,0),MATCH(G$1,'Permission matrix'!$B$1:$J$1,0))=1,"Yes","-"),"?")</f>
        <v/>
      </c>
      <c r="H25" s="8">
        <f>IFERROR(IF(INDEX('Permission matrix'!$B$2:$J$56,MATCH($C25,'Permission matrix'!$A$2:$A$56,0),MATCH(H$1,'Permission matrix'!$B$1:$J$1,0))=1,"Yes","-"),"?")</f>
        <v/>
      </c>
      <c r="I25" s="8">
        <f>IFERROR(IF(INDEX('Permission matrix'!$B$2:$J$56,MATCH($C25,'Permission matrix'!$A$2:$A$56,0),MATCH(I$1,'Permission matrix'!$B$1:$J$1,0))=1,"Yes","-"),"?")</f>
        <v/>
      </c>
      <c r="J25" s="8">
        <f>IFERROR(IF(INDEX('Permission matrix'!$B$2:$J$56,MATCH($C25,'Permission matrix'!$A$2:$A$56,0),MATCH(J$1,'Permission matrix'!$B$1:$J$1,0))=1,"Yes","-"),"?")</f>
        <v/>
      </c>
      <c r="K25" s="8">
        <f>IFERROR(IF(INDEX('Permission matrix'!$B$2:$J$56,MATCH($C25,'Permission matrix'!$A$2:$A$56,0),MATCH(K$1,'Permission matrix'!$B$1:$J$1,0))=1,"Yes","-"),"?")</f>
        <v/>
      </c>
      <c r="L25" s="8">
        <f>IFERROR(IF(INDEX('Permission matrix'!$B$2:$J$56,MATCH($C25,'Permission matrix'!$A$2:$A$56,0),MATCH(L$1,'Permission matrix'!$B$1:$J$1,0))=1,"Yes","-"),"?")</f>
        <v/>
      </c>
      <c r="M25" s="8">
        <f>IFERROR(IF(INDEX('Permission matrix'!$B$2:$J$56,MATCH($C25,'Permission matrix'!$A$2:$A$56,0),MATCH(M$1,'Permission matrix'!$B$1:$J$1,0))=1,"Yes","-"),"?")</f>
        <v/>
      </c>
    </row>
    <row r="26">
      <c r="A26" s="5" t="inlineStr">
        <is>
          <t>Orders &amp; billing</t>
        </is>
      </c>
      <c r="B26" s="6" t="inlineStr">
        <is>
          <t>floor manage</t>
        </is>
      </c>
      <c r="C26" s="6" t="inlineStr">
        <is>
          <t>floor.manage</t>
        </is>
      </c>
      <c r="D26" s="7" t="inlineStr">
        <is>
          <t>Switch busy mode on or off for the floor, so a settled table is free at once instead of being cleared first. It switches itself off at the next business day. Held by owner and manager: it changes how the whole floor behaves, not one table.</t>
        </is>
      </c>
      <c r="E26" s="8">
        <f>IFERROR(IF(INDEX('Permission matrix'!$B$2:$J$56,MATCH($C26,'Permission matrix'!$A$2:$A$56,0),MATCH(E$1,'Permission matrix'!$B$1:$J$1,0))=1,"Yes","-"),"?")</f>
        <v/>
      </c>
      <c r="F26" s="8">
        <f>IFERROR(IF(INDEX('Permission matrix'!$B$2:$J$56,MATCH($C26,'Permission matrix'!$A$2:$A$56,0),MATCH(F$1,'Permission matrix'!$B$1:$J$1,0))=1,"Yes","-"),"?")</f>
        <v/>
      </c>
      <c r="G26" s="8">
        <f>IFERROR(IF(INDEX('Permission matrix'!$B$2:$J$56,MATCH($C26,'Permission matrix'!$A$2:$A$56,0),MATCH(G$1,'Permission matrix'!$B$1:$J$1,0))=1,"Yes","-"),"?")</f>
        <v/>
      </c>
      <c r="H26" s="8">
        <f>IFERROR(IF(INDEX('Permission matrix'!$B$2:$J$56,MATCH($C26,'Permission matrix'!$A$2:$A$56,0),MATCH(H$1,'Permission matrix'!$B$1:$J$1,0))=1,"Yes","-"),"?")</f>
        <v/>
      </c>
      <c r="I26" s="8">
        <f>IFERROR(IF(INDEX('Permission matrix'!$B$2:$J$56,MATCH($C26,'Permission matrix'!$A$2:$A$56,0),MATCH(I$1,'Permission matrix'!$B$1:$J$1,0))=1,"Yes","-"),"?")</f>
        <v/>
      </c>
      <c r="J26" s="8">
        <f>IFERROR(IF(INDEX('Permission matrix'!$B$2:$J$56,MATCH($C26,'Permission matrix'!$A$2:$A$56,0),MATCH(J$1,'Permission matrix'!$B$1:$J$1,0))=1,"Yes","-"),"?")</f>
        <v/>
      </c>
      <c r="K26" s="8">
        <f>IFERROR(IF(INDEX('Permission matrix'!$B$2:$J$56,MATCH($C26,'Permission matrix'!$A$2:$A$56,0),MATCH(K$1,'Permission matrix'!$B$1:$J$1,0))=1,"Yes","-"),"?")</f>
        <v/>
      </c>
      <c r="L26" s="8">
        <f>IFERROR(IF(INDEX('Permission matrix'!$B$2:$J$56,MATCH($C26,'Permission matrix'!$A$2:$A$56,0),MATCH(L$1,'Permission matrix'!$B$1:$J$1,0))=1,"Yes","-"),"?")</f>
        <v/>
      </c>
      <c r="M26" s="8">
        <f>IFERROR(IF(INDEX('Permission matrix'!$B$2:$J$56,MATCH($C26,'Permission matrix'!$A$2:$A$56,0),MATCH(M$1,'Permission matrix'!$B$1:$J$1,0))=1,"Yes","-"),"?")</f>
        <v/>
      </c>
    </row>
    <row r="27">
      <c r="A27" s="5" t="inlineStr">
        <is>
          <t>Orders &amp; billing</t>
        </is>
      </c>
      <c r="B27" s="6" t="inlineStr">
        <is>
          <t>order assign</t>
        </is>
      </c>
      <c r="C27" s="6" t="inlineStr">
        <is>
          <t>order.assign</t>
        </is>
      </c>
      <c r="D27" s="7" t="inlineStr">
        <is>
          <t>Choose who serves a table when opening an order for someone else, and move an order from one waiter to another with a reason. Held by owner and manager: a waiter may claim an order nobody is serving, but taking a table somebody is serving would take its credit, which M17 turns into a performance score.</t>
        </is>
      </c>
      <c r="E27" s="8">
        <f>IFERROR(IF(INDEX('Permission matrix'!$B$2:$J$56,MATCH($C27,'Permission matrix'!$A$2:$A$56,0),MATCH(E$1,'Permission matrix'!$B$1:$J$1,0))=1,"Yes","-"),"?")</f>
        <v/>
      </c>
      <c r="F27" s="8">
        <f>IFERROR(IF(INDEX('Permission matrix'!$B$2:$J$56,MATCH($C27,'Permission matrix'!$A$2:$A$56,0),MATCH(F$1,'Permission matrix'!$B$1:$J$1,0))=1,"Yes","-"),"?")</f>
        <v/>
      </c>
      <c r="G27" s="8">
        <f>IFERROR(IF(INDEX('Permission matrix'!$B$2:$J$56,MATCH($C27,'Permission matrix'!$A$2:$A$56,0),MATCH(G$1,'Permission matrix'!$B$1:$J$1,0))=1,"Yes","-"),"?")</f>
        <v/>
      </c>
      <c r="H27" s="8">
        <f>IFERROR(IF(INDEX('Permission matrix'!$B$2:$J$56,MATCH($C27,'Permission matrix'!$A$2:$A$56,0),MATCH(H$1,'Permission matrix'!$B$1:$J$1,0))=1,"Yes","-"),"?")</f>
        <v/>
      </c>
      <c r="I27" s="8">
        <f>IFERROR(IF(INDEX('Permission matrix'!$B$2:$J$56,MATCH($C27,'Permission matrix'!$A$2:$A$56,0),MATCH(I$1,'Permission matrix'!$B$1:$J$1,0))=1,"Yes","-"),"?")</f>
        <v/>
      </c>
      <c r="J27" s="8">
        <f>IFERROR(IF(INDEX('Permission matrix'!$B$2:$J$56,MATCH($C27,'Permission matrix'!$A$2:$A$56,0),MATCH(J$1,'Permission matrix'!$B$1:$J$1,0))=1,"Yes","-"),"?")</f>
        <v/>
      </c>
      <c r="K27" s="8">
        <f>IFERROR(IF(INDEX('Permission matrix'!$B$2:$J$56,MATCH($C27,'Permission matrix'!$A$2:$A$56,0),MATCH(K$1,'Permission matrix'!$B$1:$J$1,0))=1,"Yes","-"),"?")</f>
        <v/>
      </c>
      <c r="L27" s="8">
        <f>IFERROR(IF(INDEX('Permission matrix'!$B$2:$J$56,MATCH($C27,'Permission matrix'!$A$2:$A$56,0),MATCH(L$1,'Permission matrix'!$B$1:$J$1,0))=1,"Yes","-"),"?")</f>
        <v/>
      </c>
      <c r="M27" s="8">
        <f>IFERROR(IF(INDEX('Permission matrix'!$B$2:$J$56,MATCH($C27,'Permission matrix'!$A$2:$A$56,0),MATCH(M$1,'Permission matrix'!$B$1:$J$1,0))=1,"Yes","-"),"?")</f>
        <v/>
      </c>
    </row>
    <row r="28">
      <c r="A28" s="5" t="inlineStr">
        <is>
          <t>Orders &amp; billing</t>
        </is>
      </c>
      <c r="B28" s="6" t="inlineStr">
        <is>
          <t>order create</t>
        </is>
      </c>
      <c r="C28" s="6" t="inlineStr">
        <is>
          <t>order.create</t>
        </is>
      </c>
      <c r="D28" s="7" t="inlineStr">
        <is>
          <t>Open an order for a table, a takeaway or a delivery.</t>
        </is>
      </c>
      <c r="E28" s="8">
        <f>IFERROR(IF(INDEX('Permission matrix'!$B$2:$J$56,MATCH($C28,'Permission matrix'!$A$2:$A$56,0),MATCH(E$1,'Permission matrix'!$B$1:$J$1,0))=1,"Yes","-"),"?")</f>
        <v/>
      </c>
      <c r="F28" s="8">
        <f>IFERROR(IF(INDEX('Permission matrix'!$B$2:$J$56,MATCH($C28,'Permission matrix'!$A$2:$A$56,0),MATCH(F$1,'Permission matrix'!$B$1:$J$1,0))=1,"Yes","-"),"?")</f>
        <v/>
      </c>
      <c r="G28" s="8">
        <f>IFERROR(IF(INDEX('Permission matrix'!$B$2:$J$56,MATCH($C28,'Permission matrix'!$A$2:$A$56,0),MATCH(G$1,'Permission matrix'!$B$1:$J$1,0))=1,"Yes","-"),"?")</f>
        <v/>
      </c>
      <c r="H28" s="8">
        <f>IFERROR(IF(INDEX('Permission matrix'!$B$2:$J$56,MATCH($C28,'Permission matrix'!$A$2:$A$56,0),MATCH(H$1,'Permission matrix'!$B$1:$J$1,0))=1,"Yes","-"),"?")</f>
        <v/>
      </c>
      <c r="I28" s="8">
        <f>IFERROR(IF(INDEX('Permission matrix'!$B$2:$J$56,MATCH($C28,'Permission matrix'!$A$2:$A$56,0),MATCH(I$1,'Permission matrix'!$B$1:$J$1,0))=1,"Yes","-"),"?")</f>
        <v/>
      </c>
      <c r="J28" s="8">
        <f>IFERROR(IF(INDEX('Permission matrix'!$B$2:$J$56,MATCH($C28,'Permission matrix'!$A$2:$A$56,0),MATCH(J$1,'Permission matrix'!$B$1:$J$1,0))=1,"Yes","-"),"?")</f>
        <v/>
      </c>
      <c r="K28" s="8">
        <f>IFERROR(IF(INDEX('Permission matrix'!$B$2:$J$56,MATCH($C28,'Permission matrix'!$A$2:$A$56,0),MATCH(K$1,'Permission matrix'!$B$1:$J$1,0))=1,"Yes","-"),"?")</f>
        <v/>
      </c>
      <c r="L28" s="8">
        <f>IFERROR(IF(INDEX('Permission matrix'!$B$2:$J$56,MATCH($C28,'Permission matrix'!$A$2:$A$56,0),MATCH(L$1,'Permission matrix'!$B$1:$J$1,0))=1,"Yes","-"),"?")</f>
        <v/>
      </c>
      <c r="M28" s="8">
        <f>IFERROR(IF(INDEX('Permission matrix'!$B$2:$J$56,MATCH($C28,'Permission matrix'!$A$2:$A$56,0),MATCH(M$1,'Permission matrix'!$B$1:$J$1,0))=1,"Yes","-"),"?")</f>
        <v/>
      </c>
    </row>
    <row r="29">
      <c r="A29" s="5" t="inlineStr">
        <is>
          <t>Orders &amp; billing</t>
        </is>
      </c>
      <c r="B29" s="6" t="inlineStr">
        <is>
          <t>order discount</t>
        </is>
      </c>
      <c r="C29" s="6" t="inlineStr">
        <is>
          <t>order.discount</t>
        </is>
      </c>
      <c r="D29" s="7" t="inlineStr">
        <is>
          <t>Apply a discount or a comp, always with a reason and always with this person's name on it. Not held by a waiter: the P1 design names discounts one of the classic leakage vectors.</t>
        </is>
      </c>
      <c r="E29" s="8">
        <f>IFERROR(IF(INDEX('Permission matrix'!$B$2:$J$56,MATCH($C29,'Permission matrix'!$A$2:$A$56,0),MATCH(E$1,'Permission matrix'!$B$1:$J$1,0))=1,"Yes","-"),"?")</f>
        <v/>
      </c>
      <c r="F29" s="8">
        <f>IFERROR(IF(INDEX('Permission matrix'!$B$2:$J$56,MATCH($C29,'Permission matrix'!$A$2:$A$56,0),MATCH(F$1,'Permission matrix'!$B$1:$J$1,0))=1,"Yes","-"),"?")</f>
        <v/>
      </c>
      <c r="G29" s="8">
        <f>IFERROR(IF(INDEX('Permission matrix'!$B$2:$J$56,MATCH($C29,'Permission matrix'!$A$2:$A$56,0),MATCH(G$1,'Permission matrix'!$B$1:$J$1,0))=1,"Yes","-"),"?")</f>
        <v/>
      </c>
      <c r="H29" s="8">
        <f>IFERROR(IF(INDEX('Permission matrix'!$B$2:$J$56,MATCH($C29,'Permission matrix'!$A$2:$A$56,0),MATCH(H$1,'Permission matrix'!$B$1:$J$1,0))=1,"Yes","-"),"?")</f>
        <v/>
      </c>
      <c r="I29" s="8">
        <f>IFERROR(IF(INDEX('Permission matrix'!$B$2:$J$56,MATCH($C29,'Permission matrix'!$A$2:$A$56,0),MATCH(I$1,'Permission matrix'!$B$1:$J$1,0))=1,"Yes","-"),"?")</f>
        <v/>
      </c>
      <c r="J29" s="8">
        <f>IFERROR(IF(INDEX('Permission matrix'!$B$2:$J$56,MATCH($C29,'Permission matrix'!$A$2:$A$56,0),MATCH(J$1,'Permission matrix'!$B$1:$J$1,0))=1,"Yes","-"),"?")</f>
        <v/>
      </c>
      <c r="K29" s="8">
        <f>IFERROR(IF(INDEX('Permission matrix'!$B$2:$J$56,MATCH($C29,'Permission matrix'!$A$2:$A$56,0),MATCH(K$1,'Permission matrix'!$B$1:$J$1,0))=1,"Yes","-"),"?")</f>
        <v/>
      </c>
      <c r="L29" s="8">
        <f>IFERROR(IF(INDEX('Permission matrix'!$B$2:$J$56,MATCH($C29,'Permission matrix'!$A$2:$A$56,0),MATCH(L$1,'Permission matrix'!$B$1:$J$1,0))=1,"Yes","-"),"?")</f>
        <v/>
      </c>
      <c r="M29" s="8">
        <f>IFERROR(IF(INDEX('Permission matrix'!$B$2:$J$56,MATCH($C29,'Permission matrix'!$A$2:$A$56,0),MATCH(M$1,'Permission matrix'!$B$1:$J$1,0))=1,"Yes","-"),"?")</f>
        <v/>
      </c>
    </row>
    <row r="30">
      <c r="A30" s="5" t="inlineStr">
        <is>
          <t>Orders &amp; billing</t>
        </is>
      </c>
      <c r="B30" s="6" t="inlineStr">
        <is>
          <t>order modify</t>
        </is>
      </c>
      <c r="C30" s="6" t="inlineStr">
        <is>
          <t>order.modify</t>
        </is>
      </c>
      <c r="D30" s="7" t="inlineStr">
        <is>
          <t>Add, change and send dishes, mark them served, split a bill, add packaging or an optional service charge, and cancel an order that was never settled. The server recomputes every price and tax from the menu; the client sends only what was ordered.</t>
        </is>
      </c>
      <c r="E30" s="8">
        <f>IFERROR(IF(INDEX('Permission matrix'!$B$2:$J$56,MATCH($C30,'Permission matrix'!$A$2:$A$56,0),MATCH(E$1,'Permission matrix'!$B$1:$J$1,0))=1,"Yes","-"),"?")</f>
        <v/>
      </c>
      <c r="F30" s="8">
        <f>IFERROR(IF(INDEX('Permission matrix'!$B$2:$J$56,MATCH($C30,'Permission matrix'!$A$2:$A$56,0),MATCH(F$1,'Permission matrix'!$B$1:$J$1,0))=1,"Yes","-"),"?")</f>
        <v/>
      </c>
      <c r="G30" s="8">
        <f>IFERROR(IF(INDEX('Permission matrix'!$B$2:$J$56,MATCH($C30,'Permission matrix'!$A$2:$A$56,0),MATCH(G$1,'Permission matrix'!$B$1:$J$1,0))=1,"Yes","-"),"?")</f>
        <v/>
      </c>
      <c r="H30" s="8">
        <f>IFERROR(IF(INDEX('Permission matrix'!$B$2:$J$56,MATCH($C30,'Permission matrix'!$A$2:$A$56,0),MATCH(H$1,'Permission matrix'!$B$1:$J$1,0))=1,"Yes","-"),"?")</f>
        <v/>
      </c>
      <c r="I30" s="8">
        <f>IFERROR(IF(INDEX('Permission matrix'!$B$2:$J$56,MATCH($C30,'Permission matrix'!$A$2:$A$56,0),MATCH(I$1,'Permission matrix'!$B$1:$J$1,0))=1,"Yes","-"),"?")</f>
        <v/>
      </c>
      <c r="J30" s="8">
        <f>IFERROR(IF(INDEX('Permission matrix'!$B$2:$J$56,MATCH($C30,'Permission matrix'!$A$2:$A$56,0),MATCH(J$1,'Permission matrix'!$B$1:$J$1,0))=1,"Yes","-"),"?")</f>
        <v/>
      </c>
      <c r="K30" s="8">
        <f>IFERROR(IF(INDEX('Permission matrix'!$B$2:$J$56,MATCH($C30,'Permission matrix'!$A$2:$A$56,0),MATCH(K$1,'Permission matrix'!$B$1:$J$1,0))=1,"Yes","-"),"?")</f>
        <v/>
      </c>
      <c r="L30" s="8">
        <f>IFERROR(IF(INDEX('Permission matrix'!$B$2:$J$56,MATCH($C30,'Permission matrix'!$A$2:$A$56,0),MATCH(L$1,'Permission matrix'!$B$1:$J$1,0))=1,"Yes","-"),"?")</f>
        <v/>
      </c>
      <c r="M30" s="8">
        <f>IFERROR(IF(INDEX('Permission matrix'!$B$2:$J$56,MATCH($C30,'Permission matrix'!$A$2:$A$56,0),MATCH(M$1,'Permission matrix'!$B$1:$J$1,0))=1,"Yes","-"),"?")</f>
        <v/>
      </c>
    </row>
    <row r="31">
      <c r="A31" s="5" t="inlineStr">
        <is>
          <t>Orders &amp; billing</t>
        </is>
      </c>
      <c r="B31" s="6" t="inlineStr">
        <is>
          <t>order settle</t>
        </is>
      </c>
      <c r="C31" s="6" t="inlineStr">
        <is>
          <t>order.settle</t>
        </is>
      </c>
      <c r="D31" s="7" t="inlineStr">
        <is>
          <t>Take payment and settle a bill, which numbers the invoice, posts the stock the dishes consumed and freezes their food cost. Held by a waiter, because the person at the table is the person who takes the money.</t>
        </is>
      </c>
      <c r="E31" s="8">
        <f>IFERROR(IF(INDEX('Permission matrix'!$B$2:$J$56,MATCH($C31,'Permission matrix'!$A$2:$A$56,0),MATCH(E$1,'Permission matrix'!$B$1:$J$1,0))=1,"Yes","-"),"?")</f>
        <v/>
      </c>
      <c r="F31" s="8">
        <f>IFERROR(IF(INDEX('Permission matrix'!$B$2:$J$56,MATCH($C31,'Permission matrix'!$A$2:$A$56,0),MATCH(F$1,'Permission matrix'!$B$1:$J$1,0))=1,"Yes","-"),"?")</f>
        <v/>
      </c>
      <c r="G31" s="8">
        <f>IFERROR(IF(INDEX('Permission matrix'!$B$2:$J$56,MATCH($C31,'Permission matrix'!$A$2:$A$56,0),MATCH(G$1,'Permission matrix'!$B$1:$J$1,0))=1,"Yes","-"),"?")</f>
        <v/>
      </c>
      <c r="H31" s="8">
        <f>IFERROR(IF(INDEX('Permission matrix'!$B$2:$J$56,MATCH($C31,'Permission matrix'!$A$2:$A$56,0),MATCH(H$1,'Permission matrix'!$B$1:$J$1,0))=1,"Yes","-"),"?")</f>
        <v/>
      </c>
      <c r="I31" s="8">
        <f>IFERROR(IF(INDEX('Permission matrix'!$B$2:$J$56,MATCH($C31,'Permission matrix'!$A$2:$A$56,0),MATCH(I$1,'Permission matrix'!$B$1:$J$1,0))=1,"Yes","-"),"?")</f>
        <v/>
      </c>
      <c r="J31" s="8">
        <f>IFERROR(IF(INDEX('Permission matrix'!$B$2:$J$56,MATCH($C31,'Permission matrix'!$A$2:$A$56,0),MATCH(J$1,'Permission matrix'!$B$1:$J$1,0))=1,"Yes","-"),"?")</f>
        <v/>
      </c>
      <c r="K31" s="8">
        <f>IFERROR(IF(INDEX('Permission matrix'!$B$2:$J$56,MATCH($C31,'Permission matrix'!$A$2:$A$56,0),MATCH(K$1,'Permission matrix'!$B$1:$J$1,0))=1,"Yes","-"),"?")</f>
        <v/>
      </c>
      <c r="L31" s="8">
        <f>IFERROR(IF(INDEX('Permission matrix'!$B$2:$J$56,MATCH($C31,'Permission matrix'!$A$2:$A$56,0),MATCH(L$1,'Permission matrix'!$B$1:$J$1,0))=1,"Yes","-"),"?")</f>
        <v/>
      </c>
      <c r="M31" s="8">
        <f>IFERROR(IF(INDEX('Permission matrix'!$B$2:$J$56,MATCH($C31,'Permission matrix'!$A$2:$A$56,0),MATCH(M$1,'Permission matrix'!$B$1:$J$1,0))=1,"Yes","-"),"?")</f>
        <v/>
      </c>
    </row>
    <row r="32">
      <c r="A32" s="5" t="inlineStr">
        <is>
          <t>Orders &amp; billing</t>
        </is>
      </c>
      <c r="B32" s="6" t="inlineStr">
        <is>
          <t>order view</t>
        </is>
      </c>
      <c r="C32" s="6" t="inlineStr">
        <is>
          <t>order.view</t>
        </is>
      </c>
      <c r="D32" s="7" t="inlineStr">
        <is>
          <t>See orders, bills, invoices and credit notes. The accountant holds this and nothing else on the order path: reconciling the day's takings means reading every bill and changing none.</t>
        </is>
      </c>
      <c r="E32" s="8">
        <f>IFERROR(IF(INDEX('Permission matrix'!$B$2:$J$56,MATCH($C32,'Permission matrix'!$A$2:$A$56,0),MATCH(E$1,'Permission matrix'!$B$1:$J$1,0))=1,"Yes","-"),"?")</f>
        <v/>
      </c>
      <c r="F32" s="8">
        <f>IFERROR(IF(INDEX('Permission matrix'!$B$2:$J$56,MATCH($C32,'Permission matrix'!$A$2:$A$56,0),MATCH(F$1,'Permission matrix'!$B$1:$J$1,0))=1,"Yes","-"),"?")</f>
        <v/>
      </c>
      <c r="G32" s="8">
        <f>IFERROR(IF(INDEX('Permission matrix'!$B$2:$J$56,MATCH($C32,'Permission matrix'!$A$2:$A$56,0),MATCH(G$1,'Permission matrix'!$B$1:$J$1,0))=1,"Yes","-"),"?")</f>
        <v/>
      </c>
      <c r="H32" s="8">
        <f>IFERROR(IF(INDEX('Permission matrix'!$B$2:$J$56,MATCH($C32,'Permission matrix'!$A$2:$A$56,0),MATCH(H$1,'Permission matrix'!$B$1:$J$1,0))=1,"Yes","-"),"?")</f>
        <v/>
      </c>
      <c r="I32" s="8">
        <f>IFERROR(IF(INDEX('Permission matrix'!$B$2:$J$56,MATCH($C32,'Permission matrix'!$A$2:$A$56,0),MATCH(I$1,'Permission matrix'!$B$1:$J$1,0))=1,"Yes","-"),"?")</f>
        <v/>
      </c>
      <c r="J32" s="8">
        <f>IFERROR(IF(INDEX('Permission matrix'!$B$2:$J$56,MATCH($C32,'Permission matrix'!$A$2:$A$56,0),MATCH(J$1,'Permission matrix'!$B$1:$J$1,0))=1,"Yes","-"),"?")</f>
        <v/>
      </c>
      <c r="K32" s="8">
        <f>IFERROR(IF(INDEX('Permission matrix'!$B$2:$J$56,MATCH($C32,'Permission matrix'!$A$2:$A$56,0),MATCH(K$1,'Permission matrix'!$B$1:$J$1,0))=1,"Yes","-"),"?")</f>
        <v/>
      </c>
      <c r="L32" s="8">
        <f>IFERROR(IF(INDEX('Permission matrix'!$B$2:$J$56,MATCH($C32,'Permission matrix'!$A$2:$A$56,0),MATCH(L$1,'Permission matrix'!$B$1:$J$1,0))=1,"Yes","-"),"?")</f>
        <v/>
      </c>
      <c r="M32" s="8">
        <f>IFERROR(IF(INDEX('Permission matrix'!$B$2:$J$56,MATCH($C32,'Permission matrix'!$A$2:$A$56,0),MATCH(M$1,'Permission matrix'!$B$1:$J$1,0))=1,"Yes","-"),"?")</f>
        <v/>
      </c>
    </row>
    <row r="33">
      <c r="A33" s="5" t="inlineStr">
        <is>
          <t>Orders &amp; billing</t>
        </is>
      </c>
      <c r="B33" s="6" t="inlineStr">
        <is>
          <t>order void</t>
        </is>
      </c>
      <c r="C33" s="6" t="inlineStr">
        <is>
          <t>order.void</t>
        </is>
      </c>
      <c r="D33" s="7" t="inlineStr">
        <is>
          <t>Cancel an invoice on its day of issue, or issue a credit note and refund against a settled bill. Not held by a waiter: cancelling a paid cash bill is how the cash disappears, so it needs a more senior person and a reason, and a cancelled invoice keeps its number.</t>
        </is>
      </c>
      <c r="E33" s="8">
        <f>IFERROR(IF(INDEX('Permission matrix'!$B$2:$J$56,MATCH($C33,'Permission matrix'!$A$2:$A$56,0),MATCH(E$1,'Permission matrix'!$B$1:$J$1,0))=1,"Yes","-"),"?")</f>
        <v/>
      </c>
      <c r="F33" s="8">
        <f>IFERROR(IF(INDEX('Permission matrix'!$B$2:$J$56,MATCH($C33,'Permission matrix'!$A$2:$A$56,0),MATCH(F$1,'Permission matrix'!$B$1:$J$1,0))=1,"Yes","-"),"?")</f>
        <v/>
      </c>
      <c r="G33" s="8">
        <f>IFERROR(IF(INDEX('Permission matrix'!$B$2:$J$56,MATCH($C33,'Permission matrix'!$A$2:$A$56,0),MATCH(G$1,'Permission matrix'!$B$1:$J$1,0))=1,"Yes","-"),"?")</f>
        <v/>
      </c>
      <c r="H33" s="8">
        <f>IFERROR(IF(INDEX('Permission matrix'!$B$2:$J$56,MATCH($C33,'Permission matrix'!$A$2:$A$56,0),MATCH(H$1,'Permission matrix'!$B$1:$J$1,0))=1,"Yes","-"),"?")</f>
        <v/>
      </c>
      <c r="I33" s="8">
        <f>IFERROR(IF(INDEX('Permission matrix'!$B$2:$J$56,MATCH($C33,'Permission matrix'!$A$2:$A$56,0),MATCH(I$1,'Permission matrix'!$B$1:$J$1,0))=1,"Yes","-"),"?")</f>
        <v/>
      </c>
      <c r="J33" s="8">
        <f>IFERROR(IF(INDEX('Permission matrix'!$B$2:$J$56,MATCH($C33,'Permission matrix'!$A$2:$A$56,0),MATCH(J$1,'Permission matrix'!$B$1:$J$1,0))=1,"Yes","-"),"?")</f>
        <v/>
      </c>
      <c r="K33" s="8">
        <f>IFERROR(IF(INDEX('Permission matrix'!$B$2:$J$56,MATCH($C33,'Permission matrix'!$A$2:$A$56,0),MATCH(K$1,'Permission matrix'!$B$1:$J$1,0))=1,"Yes","-"),"?")</f>
        <v/>
      </c>
      <c r="L33" s="8">
        <f>IFERROR(IF(INDEX('Permission matrix'!$B$2:$J$56,MATCH($C33,'Permission matrix'!$A$2:$A$56,0),MATCH(L$1,'Permission matrix'!$B$1:$J$1,0))=1,"Yes","-"),"?")</f>
        <v/>
      </c>
      <c r="M33" s="8">
        <f>IFERROR(IF(INDEX('Permission matrix'!$B$2:$J$56,MATCH($C33,'Permission matrix'!$A$2:$A$56,0),MATCH(M$1,'Permission matrix'!$B$1:$J$1,0))=1,"Yes","-"),"?")</f>
        <v/>
      </c>
    </row>
    <row r="34">
      <c r="A34" s="5" t="inlineStr">
        <is>
          <t>Recipes &amp; costing</t>
        </is>
      </c>
      <c r="B34" s="6" t="inlineStr">
        <is>
          <t>cost view</t>
        </is>
      </c>
      <c r="C34" s="6" t="inlineStr">
        <is>
          <t>cost.view</t>
        </is>
      </c>
      <c r="D34" s="7" t="inlineStr">
        <is>
          <t>See what a dish costs and what it earns. Deliberately not the chef's: seed/organization.yaml's design says a chef sees grams, not rupees.</t>
        </is>
      </c>
      <c r="E34" s="8">
        <f>IFERROR(IF(INDEX('Permission matrix'!$B$2:$J$56,MATCH($C34,'Permission matrix'!$A$2:$A$56,0),MATCH(E$1,'Permission matrix'!$B$1:$J$1,0))=1,"Yes","-"),"?")</f>
        <v/>
      </c>
      <c r="F34" s="8">
        <f>IFERROR(IF(INDEX('Permission matrix'!$B$2:$J$56,MATCH($C34,'Permission matrix'!$A$2:$A$56,0),MATCH(F$1,'Permission matrix'!$B$1:$J$1,0))=1,"Yes","-"),"?")</f>
        <v/>
      </c>
      <c r="G34" s="8">
        <f>IFERROR(IF(INDEX('Permission matrix'!$B$2:$J$56,MATCH($C34,'Permission matrix'!$A$2:$A$56,0),MATCH(G$1,'Permission matrix'!$B$1:$J$1,0))=1,"Yes","-"),"?")</f>
        <v/>
      </c>
      <c r="H34" s="8">
        <f>IFERROR(IF(INDEX('Permission matrix'!$B$2:$J$56,MATCH($C34,'Permission matrix'!$A$2:$A$56,0),MATCH(H$1,'Permission matrix'!$B$1:$J$1,0))=1,"Yes","-"),"?")</f>
        <v/>
      </c>
      <c r="I34" s="8">
        <f>IFERROR(IF(INDEX('Permission matrix'!$B$2:$J$56,MATCH($C34,'Permission matrix'!$A$2:$A$56,0),MATCH(I$1,'Permission matrix'!$B$1:$J$1,0))=1,"Yes","-"),"?")</f>
        <v/>
      </c>
      <c r="J34" s="8">
        <f>IFERROR(IF(INDEX('Permission matrix'!$B$2:$J$56,MATCH($C34,'Permission matrix'!$A$2:$A$56,0),MATCH(J$1,'Permission matrix'!$B$1:$J$1,0))=1,"Yes","-"),"?")</f>
        <v/>
      </c>
      <c r="K34" s="8">
        <f>IFERROR(IF(INDEX('Permission matrix'!$B$2:$J$56,MATCH($C34,'Permission matrix'!$A$2:$A$56,0),MATCH(K$1,'Permission matrix'!$B$1:$J$1,0))=1,"Yes","-"),"?")</f>
        <v/>
      </c>
      <c r="L34" s="8">
        <f>IFERROR(IF(INDEX('Permission matrix'!$B$2:$J$56,MATCH($C34,'Permission matrix'!$A$2:$A$56,0),MATCH(L$1,'Permission matrix'!$B$1:$J$1,0))=1,"Yes","-"),"?")</f>
        <v/>
      </c>
      <c r="M34" s="8">
        <f>IFERROR(IF(INDEX('Permission matrix'!$B$2:$J$56,MATCH($C34,'Permission matrix'!$A$2:$A$56,0),MATCH(M$1,'Permission matrix'!$B$1:$J$1,0))=1,"Yes","-"),"?")</f>
        <v/>
      </c>
    </row>
    <row r="35">
      <c r="A35" s="5" t="inlineStr">
        <is>
          <t>Recipes &amp; costing</t>
        </is>
      </c>
      <c r="B35" s="6" t="inlineStr">
        <is>
          <t>recipe manage</t>
        </is>
      </c>
      <c r="C35" s="6" t="inlineStr">
        <is>
          <t>recipe.manage</t>
        </is>
      </c>
      <c r="D35" s="7" t="inlineStr">
        <is>
          <t>Create stock items and recipe versions. Held by the chef, who owns the recipe, and the owner.</t>
        </is>
      </c>
      <c r="E35" s="8">
        <f>IFERROR(IF(INDEX('Permission matrix'!$B$2:$J$56,MATCH($C35,'Permission matrix'!$A$2:$A$56,0),MATCH(E$1,'Permission matrix'!$B$1:$J$1,0))=1,"Yes","-"),"?")</f>
        <v/>
      </c>
      <c r="F35" s="8">
        <f>IFERROR(IF(INDEX('Permission matrix'!$B$2:$J$56,MATCH($C35,'Permission matrix'!$A$2:$A$56,0),MATCH(F$1,'Permission matrix'!$B$1:$J$1,0))=1,"Yes","-"),"?")</f>
        <v/>
      </c>
      <c r="G35" s="8">
        <f>IFERROR(IF(INDEX('Permission matrix'!$B$2:$J$56,MATCH($C35,'Permission matrix'!$A$2:$A$56,0),MATCH(G$1,'Permission matrix'!$B$1:$J$1,0))=1,"Yes","-"),"?")</f>
        <v/>
      </c>
      <c r="H35" s="8">
        <f>IFERROR(IF(INDEX('Permission matrix'!$B$2:$J$56,MATCH($C35,'Permission matrix'!$A$2:$A$56,0),MATCH(H$1,'Permission matrix'!$B$1:$J$1,0))=1,"Yes","-"),"?")</f>
        <v/>
      </c>
      <c r="I35" s="8">
        <f>IFERROR(IF(INDEX('Permission matrix'!$B$2:$J$56,MATCH($C35,'Permission matrix'!$A$2:$A$56,0),MATCH(I$1,'Permission matrix'!$B$1:$J$1,0))=1,"Yes","-"),"?")</f>
        <v/>
      </c>
      <c r="J35" s="8">
        <f>IFERROR(IF(INDEX('Permission matrix'!$B$2:$J$56,MATCH($C35,'Permission matrix'!$A$2:$A$56,0),MATCH(J$1,'Permission matrix'!$B$1:$J$1,0))=1,"Yes","-"),"?")</f>
        <v/>
      </c>
      <c r="K35" s="8">
        <f>IFERROR(IF(INDEX('Permission matrix'!$B$2:$J$56,MATCH($C35,'Permission matrix'!$A$2:$A$56,0),MATCH(K$1,'Permission matrix'!$B$1:$J$1,0))=1,"Yes","-"),"?")</f>
        <v/>
      </c>
      <c r="L35" s="8">
        <f>IFERROR(IF(INDEX('Permission matrix'!$B$2:$J$56,MATCH($C35,'Permission matrix'!$A$2:$A$56,0),MATCH(L$1,'Permission matrix'!$B$1:$J$1,0))=1,"Yes","-"),"?")</f>
        <v/>
      </c>
      <c r="M35" s="8">
        <f>IFERROR(IF(INDEX('Permission matrix'!$B$2:$J$56,MATCH($C35,'Permission matrix'!$A$2:$A$56,0),MATCH(M$1,'Permission matrix'!$B$1:$J$1,0))=1,"Yes","-"),"?")</f>
        <v/>
      </c>
    </row>
    <row r="36">
      <c r="A36" s="5" t="inlineStr">
        <is>
          <t>Recipes &amp; costing</t>
        </is>
      </c>
      <c r="B36" s="6" t="inlineStr">
        <is>
          <t>recipe view</t>
        </is>
      </c>
      <c r="C36" s="6" t="inlineStr">
        <is>
          <t>recipe.view</t>
        </is>
      </c>
      <c r="D36" s="7" t="inlineStr">
        <is>
          <t>Read recipes and their quantities. A chef reads recipes — that is the job.</t>
        </is>
      </c>
      <c r="E36" s="8">
        <f>IFERROR(IF(INDEX('Permission matrix'!$B$2:$J$56,MATCH($C36,'Permission matrix'!$A$2:$A$56,0),MATCH(E$1,'Permission matrix'!$B$1:$J$1,0))=1,"Yes","-"),"?")</f>
        <v/>
      </c>
      <c r="F36" s="8">
        <f>IFERROR(IF(INDEX('Permission matrix'!$B$2:$J$56,MATCH($C36,'Permission matrix'!$A$2:$A$56,0),MATCH(F$1,'Permission matrix'!$B$1:$J$1,0))=1,"Yes","-"),"?")</f>
        <v/>
      </c>
      <c r="G36" s="8">
        <f>IFERROR(IF(INDEX('Permission matrix'!$B$2:$J$56,MATCH($C36,'Permission matrix'!$A$2:$A$56,0),MATCH(G$1,'Permission matrix'!$B$1:$J$1,0))=1,"Yes","-"),"?")</f>
        <v/>
      </c>
      <c r="H36" s="8">
        <f>IFERROR(IF(INDEX('Permission matrix'!$B$2:$J$56,MATCH($C36,'Permission matrix'!$A$2:$A$56,0),MATCH(H$1,'Permission matrix'!$B$1:$J$1,0))=1,"Yes","-"),"?")</f>
        <v/>
      </c>
      <c r="I36" s="8">
        <f>IFERROR(IF(INDEX('Permission matrix'!$B$2:$J$56,MATCH($C36,'Permission matrix'!$A$2:$A$56,0),MATCH(I$1,'Permission matrix'!$B$1:$J$1,0))=1,"Yes","-"),"?")</f>
        <v/>
      </c>
      <c r="J36" s="8">
        <f>IFERROR(IF(INDEX('Permission matrix'!$B$2:$J$56,MATCH($C36,'Permission matrix'!$A$2:$A$56,0),MATCH(J$1,'Permission matrix'!$B$1:$J$1,0))=1,"Yes","-"),"?")</f>
        <v/>
      </c>
      <c r="K36" s="8">
        <f>IFERROR(IF(INDEX('Permission matrix'!$B$2:$J$56,MATCH($C36,'Permission matrix'!$A$2:$A$56,0),MATCH(K$1,'Permission matrix'!$B$1:$J$1,0))=1,"Yes","-"),"?")</f>
        <v/>
      </c>
      <c r="L36" s="8">
        <f>IFERROR(IF(INDEX('Permission matrix'!$B$2:$J$56,MATCH($C36,'Permission matrix'!$A$2:$A$56,0),MATCH(L$1,'Permission matrix'!$B$1:$J$1,0))=1,"Yes","-"),"?")</f>
        <v/>
      </c>
      <c r="M36" s="8">
        <f>IFERROR(IF(INDEX('Permission matrix'!$B$2:$J$56,MATCH($C36,'Permission matrix'!$A$2:$A$56,0),MATCH(M$1,'Permission matrix'!$B$1:$J$1,0))=1,"Yes","-"),"?")</f>
        <v/>
      </c>
    </row>
    <row r="37">
      <c r="A37" s="5" t="inlineStr">
        <is>
          <t>Setup &amp; configuration</t>
        </is>
      </c>
      <c r="B37" s="6" t="inlineStr">
        <is>
          <t>restaurant configure</t>
        </is>
      </c>
      <c r="C37" s="6" t="inlineStr">
        <is>
          <t>restaurant.configure</t>
        </is>
      </c>
      <c r="D37" s="7" t="inlineStr">
        <is>
          <t>Change the restaurant's settings, floor plan, kitchen stations and tax rates.</t>
        </is>
      </c>
      <c r="E37" s="8">
        <f>IFERROR(IF(INDEX('Permission matrix'!$B$2:$J$56,MATCH($C37,'Permission matrix'!$A$2:$A$56,0),MATCH(E$1,'Permission matrix'!$B$1:$J$1,0))=1,"Yes","-"),"?")</f>
        <v/>
      </c>
      <c r="F37" s="8">
        <f>IFERROR(IF(INDEX('Permission matrix'!$B$2:$J$56,MATCH($C37,'Permission matrix'!$A$2:$A$56,0),MATCH(F$1,'Permission matrix'!$B$1:$J$1,0))=1,"Yes","-"),"?")</f>
        <v/>
      </c>
      <c r="G37" s="8">
        <f>IFERROR(IF(INDEX('Permission matrix'!$B$2:$J$56,MATCH($C37,'Permission matrix'!$A$2:$A$56,0),MATCH(G$1,'Permission matrix'!$B$1:$J$1,0))=1,"Yes","-"),"?")</f>
        <v/>
      </c>
      <c r="H37" s="8">
        <f>IFERROR(IF(INDEX('Permission matrix'!$B$2:$J$56,MATCH($C37,'Permission matrix'!$A$2:$A$56,0),MATCH(H$1,'Permission matrix'!$B$1:$J$1,0))=1,"Yes","-"),"?")</f>
        <v/>
      </c>
      <c r="I37" s="8">
        <f>IFERROR(IF(INDEX('Permission matrix'!$B$2:$J$56,MATCH($C37,'Permission matrix'!$A$2:$A$56,0),MATCH(I$1,'Permission matrix'!$B$1:$J$1,0))=1,"Yes","-"),"?")</f>
        <v/>
      </c>
      <c r="J37" s="8">
        <f>IFERROR(IF(INDEX('Permission matrix'!$B$2:$J$56,MATCH($C37,'Permission matrix'!$A$2:$A$56,0),MATCH(J$1,'Permission matrix'!$B$1:$J$1,0))=1,"Yes","-"),"?")</f>
        <v/>
      </c>
      <c r="K37" s="8">
        <f>IFERROR(IF(INDEX('Permission matrix'!$B$2:$J$56,MATCH($C37,'Permission matrix'!$A$2:$A$56,0),MATCH(K$1,'Permission matrix'!$B$1:$J$1,0))=1,"Yes","-"),"?")</f>
        <v/>
      </c>
      <c r="L37" s="8">
        <f>IFERROR(IF(INDEX('Permission matrix'!$B$2:$J$56,MATCH($C37,'Permission matrix'!$A$2:$A$56,0),MATCH(L$1,'Permission matrix'!$B$1:$J$1,0))=1,"Yes","-"),"?")</f>
        <v/>
      </c>
      <c r="M37" s="8">
        <f>IFERROR(IF(INDEX('Permission matrix'!$B$2:$J$56,MATCH($C37,'Permission matrix'!$A$2:$A$56,0),MATCH(M$1,'Permission matrix'!$B$1:$J$1,0))=1,"Yes","-"),"?")</f>
        <v/>
      </c>
    </row>
    <row r="38">
      <c r="A38" s="5" t="inlineStr">
        <is>
          <t>Staff management</t>
        </is>
      </c>
      <c r="B38" s="6" t="inlineStr">
        <is>
          <t>employee create</t>
        </is>
      </c>
      <c r="C38" s="6" t="inlineStr">
        <is>
          <t>employee.create</t>
        </is>
      </c>
      <c r="D38" s="7" t="inlineStr">
        <is>
          <t>Add a new employee, optionally with a login.</t>
        </is>
      </c>
      <c r="E38" s="8">
        <f>IFERROR(IF(INDEX('Permission matrix'!$B$2:$J$56,MATCH($C38,'Permission matrix'!$A$2:$A$56,0),MATCH(E$1,'Permission matrix'!$B$1:$J$1,0))=1,"Yes","-"),"?")</f>
        <v/>
      </c>
      <c r="F38" s="8">
        <f>IFERROR(IF(INDEX('Permission matrix'!$B$2:$J$56,MATCH($C38,'Permission matrix'!$A$2:$A$56,0),MATCH(F$1,'Permission matrix'!$B$1:$J$1,0))=1,"Yes","-"),"?")</f>
        <v/>
      </c>
      <c r="G38" s="8">
        <f>IFERROR(IF(INDEX('Permission matrix'!$B$2:$J$56,MATCH($C38,'Permission matrix'!$A$2:$A$56,0),MATCH(G$1,'Permission matrix'!$B$1:$J$1,0))=1,"Yes","-"),"?")</f>
        <v/>
      </c>
      <c r="H38" s="8">
        <f>IFERROR(IF(INDEX('Permission matrix'!$B$2:$J$56,MATCH($C38,'Permission matrix'!$A$2:$A$56,0),MATCH(H$1,'Permission matrix'!$B$1:$J$1,0))=1,"Yes","-"),"?")</f>
        <v/>
      </c>
      <c r="I38" s="8">
        <f>IFERROR(IF(INDEX('Permission matrix'!$B$2:$J$56,MATCH($C38,'Permission matrix'!$A$2:$A$56,0),MATCH(I$1,'Permission matrix'!$B$1:$J$1,0))=1,"Yes","-"),"?")</f>
        <v/>
      </c>
      <c r="J38" s="8">
        <f>IFERROR(IF(INDEX('Permission matrix'!$B$2:$J$56,MATCH($C38,'Permission matrix'!$A$2:$A$56,0),MATCH(J$1,'Permission matrix'!$B$1:$J$1,0))=1,"Yes","-"),"?")</f>
        <v/>
      </c>
      <c r="K38" s="8">
        <f>IFERROR(IF(INDEX('Permission matrix'!$B$2:$J$56,MATCH($C38,'Permission matrix'!$A$2:$A$56,0),MATCH(K$1,'Permission matrix'!$B$1:$J$1,0))=1,"Yes","-"),"?")</f>
        <v/>
      </c>
      <c r="L38" s="8">
        <f>IFERROR(IF(INDEX('Permission matrix'!$B$2:$J$56,MATCH($C38,'Permission matrix'!$A$2:$A$56,0),MATCH(L$1,'Permission matrix'!$B$1:$J$1,0))=1,"Yes","-"),"?")</f>
        <v/>
      </c>
      <c r="M38" s="8">
        <f>IFERROR(IF(INDEX('Permission matrix'!$B$2:$J$56,MATCH($C38,'Permission matrix'!$A$2:$A$56,0),MATCH(M$1,'Permission matrix'!$B$1:$J$1,0))=1,"Yes","-"),"?")</f>
        <v/>
      </c>
    </row>
    <row r="39">
      <c r="A39" s="5" t="inlineStr">
        <is>
          <t>Staff management</t>
        </is>
      </c>
      <c r="B39" s="6" t="inlineStr">
        <is>
          <t>employee deactivate</t>
        </is>
      </c>
      <c r="C39" s="6" t="inlineStr">
        <is>
          <t>employee.deactivate</t>
        </is>
      </c>
      <c r="D39" s="7" t="inlineStr">
        <is>
          <t>Deactivate or reactivate an employee. Deactivating ends every open session immediately.</t>
        </is>
      </c>
      <c r="E39" s="8">
        <f>IFERROR(IF(INDEX('Permission matrix'!$B$2:$J$56,MATCH($C39,'Permission matrix'!$A$2:$A$56,0),MATCH(E$1,'Permission matrix'!$B$1:$J$1,0))=1,"Yes","-"),"?")</f>
        <v/>
      </c>
      <c r="F39" s="8">
        <f>IFERROR(IF(INDEX('Permission matrix'!$B$2:$J$56,MATCH($C39,'Permission matrix'!$A$2:$A$56,0),MATCH(F$1,'Permission matrix'!$B$1:$J$1,0))=1,"Yes","-"),"?")</f>
        <v/>
      </c>
      <c r="G39" s="8">
        <f>IFERROR(IF(INDEX('Permission matrix'!$B$2:$J$56,MATCH($C39,'Permission matrix'!$A$2:$A$56,0),MATCH(G$1,'Permission matrix'!$B$1:$J$1,0))=1,"Yes","-"),"?")</f>
        <v/>
      </c>
      <c r="H39" s="8">
        <f>IFERROR(IF(INDEX('Permission matrix'!$B$2:$J$56,MATCH($C39,'Permission matrix'!$A$2:$A$56,0),MATCH(H$1,'Permission matrix'!$B$1:$J$1,0))=1,"Yes","-"),"?")</f>
        <v/>
      </c>
      <c r="I39" s="8">
        <f>IFERROR(IF(INDEX('Permission matrix'!$B$2:$J$56,MATCH($C39,'Permission matrix'!$A$2:$A$56,0),MATCH(I$1,'Permission matrix'!$B$1:$J$1,0))=1,"Yes","-"),"?")</f>
        <v/>
      </c>
      <c r="J39" s="8">
        <f>IFERROR(IF(INDEX('Permission matrix'!$B$2:$J$56,MATCH($C39,'Permission matrix'!$A$2:$A$56,0),MATCH(J$1,'Permission matrix'!$B$1:$J$1,0))=1,"Yes","-"),"?")</f>
        <v/>
      </c>
      <c r="K39" s="8">
        <f>IFERROR(IF(INDEX('Permission matrix'!$B$2:$J$56,MATCH($C39,'Permission matrix'!$A$2:$A$56,0),MATCH(K$1,'Permission matrix'!$B$1:$J$1,0))=1,"Yes","-"),"?")</f>
        <v/>
      </c>
      <c r="L39" s="8">
        <f>IFERROR(IF(INDEX('Permission matrix'!$B$2:$J$56,MATCH($C39,'Permission matrix'!$A$2:$A$56,0),MATCH(L$1,'Permission matrix'!$B$1:$J$1,0))=1,"Yes","-"),"?")</f>
        <v/>
      </c>
      <c r="M39" s="8">
        <f>IFERROR(IF(INDEX('Permission matrix'!$B$2:$J$56,MATCH($C39,'Permission matrix'!$A$2:$A$56,0),MATCH(M$1,'Permission matrix'!$B$1:$J$1,0))=1,"Yes","-"),"?")</f>
        <v/>
      </c>
    </row>
    <row r="40">
      <c r="A40" s="5" t="inlineStr">
        <is>
          <t>Staff management</t>
        </is>
      </c>
      <c r="B40" s="6" t="inlineStr">
        <is>
          <t>employee edit</t>
        </is>
      </c>
      <c r="C40" s="6" t="inlineStr">
        <is>
          <t>employee.edit</t>
        </is>
      </c>
      <c r="D40" s="7" t="inlineStr">
        <is>
          <t>Change an employee's name, contact details or employment terms.</t>
        </is>
      </c>
      <c r="E40" s="8">
        <f>IFERROR(IF(INDEX('Permission matrix'!$B$2:$J$56,MATCH($C40,'Permission matrix'!$A$2:$A$56,0),MATCH(E$1,'Permission matrix'!$B$1:$J$1,0))=1,"Yes","-"),"?")</f>
        <v/>
      </c>
      <c r="F40" s="8">
        <f>IFERROR(IF(INDEX('Permission matrix'!$B$2:$J$56,MATCH($C40,'Permission matrix'!$A$2:$A$56,0),MATCH(F$1,'Permission matrix'!$B$1:$J$1,0))=1,"Yes","-"),"?")</f>
        <v/>
      </c>
      <c r="G40" s="8">
        <f>IFERROR(IF(INDEX('Permission matrix'!$B$2:$J$56,MATCH($C40,'Permission matrix'!$A$2:$A$56,0),MATCH(G$1,'Permission matrix'!$B$1:$J$1,0))=1,"Yes","-"),"?")</f>
        <v/>
      </c>
      <c r="H40" s="8">
        <f>IFERROR(IF(INDEX('Permission matrix'!$B$2:$J$56,MATCH($C40,'Permission matrix'!$A$2:$A$56,0),MATCH(H$1,'Permission matrix'!$B$1:$J$1,0))=1,"Yes","-"),"?")</f>
        <v/>
      </c>
      <c r="I40" s="8">
        <f>IFERROR(IF(INDEX('Permission matrix'!$B$2:$J$56,MATCH($C40,'Permission matrix'!$A$2:$A$56,0),MATCH(I$1,'Permission matrix'!$B$1:$J$1,0))=1,"Yes","-"),"?")</f>
        <v/>
      </c>
      <c r="J40" s="8">
        <f>IFERROR(IF(INDEX('Permission matrix'!$B$2:$J$56,MATCH($C40,'Permission matrix'!$A$2:$A$56,0),MATCH(J$1,'Permission matrix'!$B$1:$J$1,0))=1,"Yes","-"),"?")</f>
        <v/>
      </c>
      <c r="K40" s="8">
        <f>IFERROR(IF(INDEX('Permission matrix'!$B$2:$J$56,MATCH($C40,'Permission matrix'!$A$2:$A$56,0),MATCH(K$1,'Permission matrix'!$B$1:$J$1,0))=1,"Yes","-"),"?")</f>
        <v/>
      </c>
      <c r="L40" s="8">
        <f>IFERROR(IF(INDEX('Permission matrix'!$B$2:$J$56,MATCH($C40,'Permission matrix'!$A$2:$A$56,0),MATCH(L$1,'Permission matrix'!$B$1:$J$1,0))=1,"Yes","-"),"?")</f>
        <v/>
      </c>
      <c r="M40" s="8">
        <f>IFERROR(IF(INDEX('Permission matrix'!$B$2:$J$56,MATCH($C40,'Permission matrix'!$A$2:$A$56,0),MATCH(M$1,'Permission matrix'!$B$1:$J$1,0))=1,"Yes","-"),"?")</f>
        <v/>
      </c>
    </row>
    <row r="41">
      <c r="A41" s="5" t="inlineStr">
        <is>
          <t>Staff management</t>
        </is>
      </c>
      <c r="B41" s="6" t="inlineStr">
        <is>
          <t>employee password reset</t>
        </is>
      </c>
      <c r="C41" s="6" t="inlineStr">
        <is>
          <t>employee.password.reset</t>
        </is>
      </c>
      <c r="D41" s="7" t="inlineStr">
        <is>
          <t>Set a new password for another employee. Ends all of that person's other sessions.</t>
        </is>
      </c>
      <c r="E41" s="8">
        <f>IFERROR(IF(INDEX('Permission matrix'!$B$2:$J$56,MATCH($C41,'Permission matrix'!$A$2:$A$56,0),MATCH(E$1,'Permission matrix'!$B$1:$J$1,0))=1,"Yes","-"),"?")</f>
        <v/>
      </c>
      <c r="F41" s="8">
        <f>IFERROR(IF(INDEX('Permission matrix'!$B$2:$J$56,MATCH($C41,'Permission matrix'!$A$2:$A$56,0),MATCH(F$1,'Permission matrix'!$B$1:$J$1,0))=1,"Yes","-"),"?")</f>
        <v/>
      </c>
      <c r="G41" s="8">
        <f>IFERROR(IF(INDEX('Permission matrix'!$B$2:$J$56,MATCH($C41,'Permission matrix'!$A$2:$A$56,0),MATCH(G$1,'Permission matrix'!$B$1:$J$1,0))=1,"Yes","-"),"?")</f>
        <v/>
      </c>
      <c r="H41" s="8">
        <f>IFERROR(IF(INDEX('Permission matrix'!$B$2:$J$56,MATCH($C41,'Permission matrix'!$A$2:$A$56,0),MATCH(H$1,'Permission matrix'!$B$1:$J$1,0))=1,"Yes","-"),"?")</f>
        <v/>
      </c>
      <c r="I41" s="8">
        <f>IFERROR(IF(INDEX('Permission matrix'!$B$2:$J$56,MATCH($C41,'Permission matrix'!$A$2:$A$56,0),MATCH(I$1,'Permission matrix'!$B$1:$J$1,0))=1,"Yes","-"),"?")</f>
        <v/>
      </c>
      <c r="J41" s="8">
        <f>IFERROR(IF(INDEX('Permission matrix'!$B$2:$J$56,MATCH($C41,'Permission matrix'!$A$2:$A$56,0),MATCH(J$1,'Permission matrix'!$B$1:$J$1,0))=1,"Yes","-"),"?")</f>
        <v/>
      </c>
      <c r="K41" s="8">
        <f>IFERROR(IF(INDEX('Permission matrix'!$B$2:$J$56,MATCH($C41,'Permission matrix'!$A$2:$A$56,0),MATCH(K$1,'Permission matrix'!$B$1:$J$1,0))=1,"Yes","-"),"?")</f>
        <v/>
      </c>
      <c r="L41" s="8">
        <f>IFERROR(IF(INDEX('Permission matrix'!$B$2:$J$56,MATCH($C41,'Permission matrix'!$A$2:$A$56,0),MATCH(L$1,'Permission matrix'!$B$1:$J$1,0))=1,"Yes","-"),"?")</f>
        <v/>
      </c>
      <c r="M41" s="8">
        <f>IFERROR(IF(INDEX('Permission matrix'!$B$2:$J$56,MATCH($C41,'Permission matrix'!$A$2:$A$56,0),MATCH(M$1,'Permission matrix'!$B$1:$J$1,0))=1,"Yes","-"),"?")</f>
        <v/>
      </c>
    </row>
    <row r="42">
      <c r="A42" s="5" t="inlineStr">
        <is>
          <t>Staff management</t>
        </is>
      </c>
      <c r="B42" s="6" t="inlineStr">
        <is>
          <t>employee role assign</t>
        </is>
      </c>
      <c r="C42" s="6" t="inlineStr">
        <is>
          <t>employee.role.assign</t>
        </is>
      </c>
      <c r="D42" s="7" t="inlineStr">
        <is>
          <t>Grant or remove an employee's roles at a restaurant. This is the privilege-escalation path — hold it narrowly.</t>
        </is>
      </c>
      <c r="E42" s="8">
        <f>IFERROR(IF(INDEX('Permission matrix'!$B$2:$J$56,MATCH($C42,'Permission matrix'!$A$2:$A$56,0),MATCH(E$1,'Permission matrix'!$B$1:$J$1,0))=1,"Yes","-"),"?")</f>
        <v/>
      </c>
      <c r="F42" s="8">
        <f>IFERROR(IF(INDEX('Permission matrix'!$B$2:$J$56,MATCH($C42,'Permission matrix'!$A$2:$A$56,0),MATCH(F$1,'Permission matrix'!$B$1:$J$1,0))=1,"Yes","-"),"?")</f>
        <v/>
      </c>
      <c r="G42" s="8">
        <f>IFERROR(IF(INDEX('Permission matrix'!$B$2:$J$56,MATCH($C42,'Permission matrix'!$A$2:$A$56,0),MATCH(G$1,'Permission matrix'!$B$1:$J$1,0))=1,"Yes","-"),"?")</f>
        <v/>
      </c>
      <c r="H42" s="8">
        <f>IFERROR(IF(INDEX('Permission matrix'!$B$2:$J$56,MATCH($C42,'Permission matrix'!$A$2:$A$56,0),MATCH(H$1,'Permission matrix'!$B$1:$J$1,0))=1,"Yes","-"),"?")</f>
        <v/>
      </c>
      <c r="I42" s="8">
        <f>IFERROR(IF(INDEX('Permission matrix'!$B$2:$J$56,MATCH($C42,'Permission matrix'!$A$2:$A$56,0),MATCH(I$1,'Permission matrix'!$B$1:$J$1,0))=1,"Yes","-"),"?")</f>
        <v/>
      </c>
      <c r="J42" s="8">
        <f>IFERROR(IF(INDEX('Permission matrix'!$B$2:$J$56,MATCH($C42,'Permission matrix'!$A$2:$A$56,0),MATCH(J$1,'Permission matrix'!$B$1:$J$1,0))=1,"Yes","-"),"?")</f>
        <v/>
      </c>
      <c r="K42" s="8">
        <f>IFERROR(IF(INDEX('Permission matrix'!$B$2:$J$56,MATCH($C42,'Permission matrix'!$A$2:$A$56,0),MATCH(K$1,'Permission matrix'!$B$1:$J$1,0))=1,"Yes","-"),"?")</f>
        <v/>
      </c>
      <c r="L42" s="8">
        <f>IFERROR(IF(INDEX('Permission matrix'!$B$2:$J$56,MATCH($C42,'Permission matrix'!$A$2:$A$56,0),MATCH(L$1,'Permission matrix'!$B$1:$J$1,0))=1,"Yes","-"),"?")</f>
        <v/>
      </c>
      <c r="M42" s="8">
        <f>IFERROR(IF(INDEX('Permission matrix'!$B$2:$J$56,MATCH($C42,'Permission matrix'!$A$2:$A$56,0),MATCH(M$1,'Permission matrix'!$B$1:$J$1,0))=1,"Yes","-"),"?")</f>
        <v/>
      </c>
    </row>
    <row r="43">
      <c r="A43" s="5" t="inlineStr">
        <is>
          <t>Staff management</t>
        </is>
      </c>
      <c r="B43" s="6" t="inlineStr">
        <is>
          <t>employee view</t>
        </is>
      </c>
      <c r="C43" s="6" t="inlineStr">
        <is>
          <t>employee.view</t>
        </is>
      </c>
      <c r="D43" s="7" t="inlineStr">
        <is>
          <t>See the staff list and open an individual employee record.</t>
        </is>
      </c>
      <c r="E43" s="8">
        <f>IFERROR(IF(INDEX('Permission matrix'!$B$2:$J$56,MATCH($C43,'Permission matrix'!$A$2:$A$56,0),MATCH(E$1,'Permission matrix'!$B$1:$J$1,0))=1,"Yes","-"),"?")</f>
        <v/>
      </c>
      <c r="F43" s="8">
        <f>IFERROR(IF(INDEX('Permission matrix'!$B$2:$J$56,MATCH($C43,'Permission matrix'!$A$2:$A$56,0),MATCH(F$1,'Permission matrix'!$B$1:$J$1,0))=1,"Yes","-"),"?")</f>
        <v/>
      </c>
      <c r="G43" s="8">
        <f>IFERROR(IF(INDEX('Permission matrix'!$B$2:$J$56,MATCH($C43,'Permission matrix'!$A$2:$A$56,0),MATCH(G$1,'Permission matrix'!$B$1:$J$1,0))=1,"Yes","-"),"?")</f>
        <v/>
      </c>
      <c r="H43" s="8">
        <f>IFERROR(IF(INDEX('Permission matrix'!$B$2:$J$56,MATCH($C43,'Permission matrix'!$A$2:$A$56,0),MATCH(H$1,'Permission matrix'!$B$1:$J$1,0))=1,"Yes","-"),"?")</f>
        <v/>
      </c>
      <c r="I43" s="8">
        <f>IFERROR(IF(INDEX('Permission matrix'!$B$2:$J$56,MATCH($C43,'Permission matrix'!$A$2:$A$56,0),MATCH(I$1,'Permission matrix'!$B$1:$J$1,0))=1,"Yes","-"),"?")</f>
        <v/>
      </c>
      <c r="J43" s="8">
        <f>IFERROR(IF(INDEX('Permission matrix'!$B$2:$J$56,MATCH($C43,'Permission matrix'!$A$2:$A$56,0),MATCH(J$1,'Permission matrix'!$B$1:$J$1,0))=1,"Yes","-"),"?")</f>
        <v/>
      </c>
      <c r="K43" s="8">
        <f>IFERROR(IF(INDEX('Permission matrix'!$B$2:$J$56,MATCH($C43,'Permission matrix'!$A$2:$A$56,0),MATCH(K$1,'Permission matrix'!$B$1:$J$1,0))=1,"Yes","-"),"?")</f>
        <v/>
      </c>
      <c r="L43" s="8">
        <f>IFERROR(IF(INDEX('Permission matrix'!$B$2:$J$56,MATCH($C43,'Permission matrix'!$A$2:$A$56,0),MATCH(L$1,'Permission matrix'!$B$1:$J$1,0))=1,"Yes","-"),"?")</f>
        <v/>
      </c>
      <c r="M43" s="8">
        <f>IFERROR(IF(INDEX('Permission matrix'!$B$2:$J$56,MATCH($C43,'Permission matrix'!$A$2:$A$56,0),MATCH(M$1,'Permission matrix'!$B$1:$J$1,0))=1,"Yes","-"),"?")</f>
        <v/>
      </c>
    </row>
    <row r="44">
      <c r="A44" s="5" t="inlineStr">
        <is>
          <t>Staff management</t>
        </is>
      </c>
      <c r="B44" s="6" t="inlineStr">
        <is>
          <t>role view</t>
        </is>
      </c>
      <c r="C44" s="6" t="inlineStr">
        <is>
          <t>role.view</t>
        </is>
      </c>
      <c r="D44" s="7" t="inlineStr">
        <is>
          <t>Read the role and permission catalogue, for the role-assignment screen.</t>
        </is>
      </c>
      <c r="E44" s="8">
        <f>IFERROR(IF(INDEX('Permission matrix'!$B$2:$J$56,MATCH($C44,'Permission matrix'!$A$2:$A$56,0),MATCH(E$1,'Permission matrix'!$B$1:$J$1,0))=1,"Yes","-"),"?")</f>
        <v/>
      </c>
      <c r="F44" s="8">
        <f>IFERROR(IF(INDEX('Permission matrix'!$B$2:$J$56,MATCH($C44,'Permission matrix'!$A$2:$A$56,0),MATCH(F$1,'Permission matrix'!$B$1:$J$1,0))=1,"Yes","-"),"?")</f>
        <v/>
      </c>
      <c r="G44" s="8">
        <f>IFERROR(IF(INDEX('Permission matrix'!$B$2:$J$56,MATCH($C44,'Permission matrix'!$A$2:$A$56,0),MATCH(G$1,'Permission matrix'!$B$1:$J$1,0))=1,"Yes","-"),"?")</f>
        <v/>
      </c>
      <c r="H44" s="8">
        <f>IFERROR(IF(INDEX('Permission matrix'!$B$2:$J$56,MATCH($C44,'Permission matrix'!$A$2:$A$56,0),MATCH(H$1,'Permission matrix'!$B$1:$J$1,0))=1,"Yes","-"),"?")</f>
        <v/>
      </c>
      <c r="I44" s="8">
        <f>IFERROR(IF(INDEX('Permission matrix'!$B$2:$J$56,MATCH($C44,'Permission matrix'!$A$2:$A$56,0),MATCH(I$1,'Permission matrix'!$B$1:$J$1,0))=1,"Yes","-"),"?")</f>
        <v/>
      </c>
      <c r="J44" s="8">
        <f>IFERROR(IF(INDEX('Permission matrix'!$B$2:$J$56,MATCH($C44,'Permission matrix'!$A$2:$A$56,0),MATCH(J$1,'Permission matrix'!$B$1:$J$1,0))=1,"Yes","-"),"?")</f>
        <v/>
      </c>
      <c r="K44" s="8">
        <f>IFERROR(IF(INDEX('Permission matrix'!$B$2:$J$56,MATCH($C44,'Permission matrix'!$A$2:$A$56,0),MATCH(K$1,'Permission matrix'!$B$1:$J$1,0))=1,"Yes","-"),"?")</f>
        <v/>
      </c>
      <c r="L44" s="8">
        <f>IFERROR(IF(INDEX('Permission matrix'!$B$2:$J$56,MATCH($C44,'Permission matrix'!$A$2:$A$56,0),MATCH(L$1,'Permission matrix'!$B$1:$J$1,0))=1,"Yes","-"),"?")</f>
        <v/>
      </c>
      <c r="M44" s="8">
        <f>IFERROR(IF(INDEX('Permission matrix'!$B$2:$J$56,MATCH($C44,'Permission matrix'!$A$2:$A$56,0),MATCH(M$1,'Permission matrix'!$B$1:$J$1,0))=1,"Yes","-"),"?")</f>
        <v/>
      </c>
    </row>
    <row r="45">
      <c r="A45" s="5" t="inlineStr">
        <is>
          <t>Staff management</t>
        </is>
      </c>
      <c r="B45" s="6" t="inlineStr">
        <is>
          <t>shift manage</t>
        </is>
      </c>
      <c r="C45" s="6" t="inlineStr">
        <is>
          <t>shift.manage</t>
        </is>
      </c>
      <c r="D45" s="7" t="inlineStr">
        <is>
          <t>Create shifts, put people on them, set somebody absent or on leave, and correct a clock time. A correction always needs a reason and always writes an audit entry, because asserting somebody else's attendance is not the same act as their clocking in and the record must not make the two look alike.</t>
        </is>
      </c>
      <c r="E45" s="8">
        <f>IFERROR(IF(INDEX('Permission matrix'!$B$2:$J$56,MATCH($C45,'Permission matrix'!$A$2:$A$56,0),MATCH(E$1,'Permission matrix'!$B$1:$J$1,0))=1,"Yes","-"),"?")</f>
        <v/>
      </c>
      <c r="F45" s="8">
        <f>IFERROR(IF(INDEX('Permission matrix'!$B$2:$J$56,MATCH($C45,'Permission matrix'!$A$2:$A$56,0),MATCH(F$1,'Permission matrix'!$B$1:$J$1,0))=1,"Yes","-"),"?")</f>
        <v/>
      </c>
      <c r="G45" s="8">
        <f>IFERROR(IF(INDEX('Permission matrix'!$B$2:$J$56,MATCH($C45,'Permission matrix'!$A$2:$A$56,0),MATCH(G$1,'Permission matrix'!$B$1:$J$1,0))=1,"Yes","-"),"?")</f>
        <v/>
      </c>
      <c r="H45" s="8">
        <f>IFERROR(IF(INDEX('Permission matrix'!$B$2:$J$56,MATCH($C45,'Permission matrix'!$A$2:$A$56,0),MATCH(H$1,'Permission matrix'!$B$1:$J$1,0))=1,"Yes","-"),"?")</f>
        <v/>
      </c>
      <c r="I45" s="8">
        <f>IFERROR(IF(INDEX('Permission matrix'!$B$2:$J$56,MATCH($C45,'Permission matrix'!$A$2:$A$56,0),MATCH(I$1,'Permission matrix'!$B$1:$J$1,0))=1,"Yes","-"),"?")</f>
        <v/>
      </c>
      <c r="J45" s="8">
        <f>IFERROR(IF(INDEX('Permission matrix'!$B$2:$J$56,MATCH($C45,'Permission matrix'!$A$2:$A$56,0),MATCH(J$1,'Permission matrix'!$B$1:$J$1,0))=1,"Yes","-"),"?")</f>
        <v/>
      </c>
      <c r="K45" s="8">
        <f>IFERROR(IF(INDEX('Permission matrix'!$B$2:$J$56,MATCH($C45,'Permission matrix'!$A$2:$A$56,0),MATCH(K$1,'Permission matrix'!$B$1:$J$1,0))=1,"Yes","-"),"?")</f>
        <v/>
      </c>
      <c r="L45" s="8">
        <f>IFERROR(IF(INDEX('Permission matrix'!$B$2:$J$56,MATCH($C45,'Permission matrix'!$A$2:$A$56,0),MATCH(L$1,'Permission matrix'!$B$1:$J$1,0))=1,"Yes","-"),"?")</f>
        <v/>
      </c>
      <c r="M45" s="8">
        <f>IFERROR(IF(INDEX('Permission matrix'!$B$2:$J$56,MATCH($C45,'Permission matrix'!$A$2:$A$56,0),MATCH(M$1,'Permission matrix'!$B$1:$J$1,0))=1,"Yes","-"),"?")</f>
        <v/>
      </c>
    </row>
    <row r="46">
      <c r="A46" s="5" t="inlineStr">
        <is>
          <t>Staff management</t>
        </is>
      </c>
      <c r="B46" s="6" t="inlineStr">
        <is>
          <t>shift view</t>
        </is>
      </c>
      <c r="C46" s="6" t="inlineStr">
        <is>
          <t>shift.view</t>
        </is>
      </c>
      <c r="D46" s="7" t="inlineStr">
        <is>
          <t>Read the roster and clock yourself in and out. Held by every role: a roster nobody can read is a noticeboard in a locked room. What it shows depends on who is asking - somebody without shift.manage sees their own shifts and who is covering which section right now, never the corrections or the whole week's statuses.</t>
        </is>
      </c>
      <c r="E46" s="8">
        <f>IFERROR(IF(INDEX('Permission matrix'!$B$2:$J$56,MATCH($C46,'Permission matrix'!$A$2:$A$56,0),MATCH(E$1,'Permission matrix'!$B$1:$J$1,0))=1,"Yes","-"),"?")</f>
        <v/>
      </c>
      <c r="F46" s="8">
        <f>IFERROR(IF(INDEX('Permission matrix'!$B$2:$J$56,MATCH($C46,'Permission matrix'!$A$2:$A$56,0),MATCH(F$1,'Permission matrix'!$B$1:$J$1,0))=1,"Yes","-"),"?")</f>
        <v/>
      </c>
      <c r="G46" s="8">
        <f>IFERROR(IF(INDEX('Permission matrix'!$B$2:$J$56,MATCH($C46,'Permission matrix'!$A$2:$A$56,0),MATCH(G$1,'Permission matrix'!$B$1:$J$1,0))=1,"Yes","-"),"?")</f>
        <v/>
      </c>
      <c r="H46" s="8">
        <f>IFERROR(IF(INDEX('Permission matrix'!$B$2:$J$56,MATCH($C46,'Permission matrix'!$A$2:$A$56,0),MATCH(H$1,'Permission matrix'!$B$1:$J$1,0))=1,"Yes","-"),"?")</f>
        <v/>
      </c>
      <c r="I46" s="8">
        <f>IFERROR(IF(INDEX('Permission matrix'!$B$2:$J$56,MATCH($C46,'Permission matrix'!$A$2:$A$56,0),MATCH(I$1,'Permission matrix'!$B$1:$J$1,0))=1,"Yes","-"),"?")</f>
        <v/>
      </c>
      <c r="J46" s="8">
        <f>IFERROR(IF(INDEX('Permission matrix'!$B$2:$J$56,MATCH($C46,'Permission matrix'!$A$2:$A$56,0),MATCH(J$1,'Permission matrix'!$B$1:$J$1,0))=1,"Yes","-"),"?")</f>
        <v/>
      </c>
      <c r="K46" s="8">
        <f>IFERROR(IF(INDEX('Permission matrix'!$B$2:$J$56,MATCH($C46,'Permission matrix'!$A$2:$A$56,0),MATCH(K$1,'Permission matrix'!$B$1:$J$1,0))=1,"Yes","-"),"?")</f>
        <v/>
      </c>
      <c r="L46" s="8">
        <f>IFERROR(IF(INDEX('Permission matrix'!$B$2:$J$56,MATCH($C46,'Permission matrix'!$A$2:$A$56,0),MATCH(L$1,'Permission matrix'!$B$1:$J$1,0))=1,"Yes","-"),"?")</f>
        <v/>
      </c>
      <c r="M46" s="8">
        <f>IFERROR(IF(INDEX('Permission matrix'!$B$2:$J$56,MATCH($C46,'Permission matrix'!$A$2:$A$56,0),MATCH(M$1,'Permission matrix'!$B$1:$J$1,0))=1,"Yes","-"),"?")</f>
        <v/>
      </c>
    </row>
    <row r="47">
      <c r="A47" s="5" t="inlineStr">
        <is>
          <t>Staff performance</t>
        </is>
      </c>
      <c r="B47" s="6" t="inlineStr">
        <is>
          <t>incentive configure</t>
        </is>
      </c>
      <c r="C47" s="6" t="inlineStr">
        <is>
          <t>incentive.configure</t>
        </is>
      </c>
      <c r="D47" s="7" t="inlineStr">
        <is>
          <t>Set the weights a score is computed from. The owner's alone: it decides what the restaurant pays people to do, and a volume weight above the combined accuracy and rating weights is refused on save because it would pay people to rush.</t>
        </is>
      </c>
      <c r="E47" s="8">
        <f>IFERROR(IF(INDEX('Permission matrix'!$B$2:$J$56,MATCH($C47,'Permission matrix'!$A$2:$A$56,0),MATCH(E$1,'Permission matrix'!$B$1:$J$1,0))=1,"Yes","-"),"?")</f>
        <v/>
      </c>
      <c r="F47" s="8">
        <f>IFERROR(IF(INDEX('Permission matrix'!$B$2:$J$56,MATCH($C47,'Permission matrix'!$A$2:$A$56,0),MATCH(F$1,'Permission matrix'!$B$1:$J$1,0))=1,"Yes","-"),"?")</f>
        <v/>
      </c>
      <c r="G47" s="8">
        <f>IFERROR(IF(INDEX('Permission matrix'!$B$2:$J$56,MATCH($C47,'Permission matrix'!$A$2:$A$56,0),MATCH(G$1,'Permission matrix'!$B$1:$J$1,0))=1,"Yes","-"),"?")</f>
        <v/>
      </c>
      <c r="H47" s="8">
        <f>IFERROR(IF(INDEX('Permission matrix'!$B$2:$J$56,MATCH($C47,'Permission matrix'!$A$2:$A$56,0),MATCH(H$1,'Permission matrix'!$B$1:$J$1,0))=1,"Yes","-"),"?")</f>
        <v/>
      </c>
      <c r="I47" s="8">
        <f>IFERROR(IF(INDEX('Permission matrix'!$B$2:$J$56,MATCH($C47,'Permission matrix'!$A$2:$A$56,0),MATCH(I$1,'Permission matrix'!$B$1:$J$1,0))=1,"Yes","-"),"?")</f>
        <v/>
      </c>
      <c r="J47" s="8">
        <f>IFERROR(IF(INDEX('Permission matrix'!$B$2:$J$56,MATCH($C47,'Permission matrix'!$A$2:$A$56,0),MATCH(J$1,'Permission matrix'!$B$1:$J$1,0))=1,"Yes","-"),"?")</f>
        <v/>
      </c>
      <c r="K47" s="8">
        <f>IFERROR(IF(INDEX('Permission matrix'!$B$2:$J$56,MATCH($C47,'Permission matrix'!$A$2:$A$56,0),MATCH(K$1,'Permission matrix'!$B$1:$J$1,0))=1,"Yes","-"),"?")</f>
        <v/>
      </c>
      <c r="L47" s="8">
        <f>IFERROR(IF(INDEX('Permission matrix'!$B$2:$J$56,MATCH($C47,'Permission matrix'!$A$2:$A$56,0),MATCH(L$1,'Permission matrix'!$B$1:$J$1,0))=1,"Yes","-"),"?")</f>
        <v/>
      </c>
      <c r="M47" s="8">
        <f>IFERROR(IF(INDEX('Permission matrix'!$B$2:$J$56,MATCH($C47,'Permission matrix'!$A$2:$A$56,0),MATCH(M$1,'Permission matrix'!$B$1:$J$1,0))=1,"Yes","-"),"?")</f>
        <v/>
      </c>
    </row>
    <row r="48">
      <c r="A48" s="5" t="inlineStr">
        <is>
          <t>Staff performance</t>
        </is>
      </c>
      <c r="B48" s="6" t="inlineStr">
        <is>
          <t>performance publish</t>
        </is>
      </c>
      <c r="C48" s="6" t="inlineStr">
        <is>
          <t>performance.publish</t>
        </is>
      </c>
      <c r="D48" s="7" t="inlineStr">
        <is>
          <t>Freeze a period. Publishing writes the computed figures into performance_score and they are never recomputed, because a later void must not rewrite the basis on which a bonus was paid. The owner's, because it is the act that turns a measurement into a payment.</t>
        </is>
      </c>
      <c r="E48" s="8">
        <f>IFERROR(IF(INDEX('Permission matrix'!$B$2:$J$56,MATCH($C48,'Permission matrix'!$A$2:$A$56,0),MATCH(E$1,'Permission matrix'!$B$1:$J$1,0))=1,"Yes","-"),"?")</f>
        <v/>
      </c>
      <c r="F48" s="8">
        <f>IFERROR(IF(INDEX('Permission matrix'!$B$2:$J$56,MATCH($C48,'Permission matrix'!$A$2:$A$56,0),MATCH(F$1,'Permission matrix'!$B$1:$J$1,0))=1,"Yes","-"),"?")</f>
        <v/>
      </c>
      <c r="G48" s="8">
        <f>IFERROR(IF(INDEX('Permission matrix'!$B$2:$J$56,MATCH($C48,'Permission matrix'!$A$2:$A$56,0),MATCH(G$1,'Permission matrix'!$B$1:$J$1,0))=1,"Yes","-"),"?")</f>
        <v/>
      </c>
      <c r="H48" s="8">
        <f>IFERROR(IF(INDEX('Permission matrix'!$B$2:$J$56,MATCH($C48,'Permission matrix'!$A$2:$A$56,0),MATCH(H$1,'Permission matrix'!$B$1:$J$1,0))=1,"Yes","-"),"?")</f>
        <v/>
      </c>
      <c r="I48" s="8">
        <f>IFERROR(IF(INDEX('Permission matrix'!$B$2:$J$56,MATCH($C48,'Permission matrix'!$A$2:$A$56,0),MATCH(I$1,'Permission matrix'!$B$1:$J$1,0))=1,"Yes","-"),"?")</f>
        <v/>
      </c>
      <c r="J48" s="8">
        <f>IFERROR(IF(INDEX('Permission matrix'!$B$2:$J$56,MATCH($C48,'Permission matrix'!$A$2:$A$56,0),MATCH(J$1,'Permission matrix'!$B$1:$J$1,0))=1,"Yes","-"),"?")</f>
        <v/>
      </c>
      <c r="K48" s="8">
        <f>IFERROR(IF(INDEX('Permission matrix'!$B$2:$J$56,MATCH($C48,'Permission matrix'!$A$2:$A$56,0),MATCH(K$1,'Permission matrix'!$B$1:$J$1,0))=1,"Yes","-"),"?")</f>
        <v/>
      </c>
      <c r="L48" s="8">
        <f>IFERROR(IF(INDEX('Permission matrix'!$B$2:$J$56,MATCH($C48,'Permission matrix'!$A$2:$A$56,0),MATCH(L$1,'Permission matrix'!$B$1:$J$1,0))=1,"Yes","-"),"?")</f>
        <v/>
      </c>
      <c r="M48" s="8">
        <f>IFERROR(IF(INDEX('Permission matrix'!$B$2:$J$56,MATCH($C48,'Permission matrix'!$A$2:$A$56,0),MATCH(M$1,'Permission matrix'!$B$1:$J$1,0))=1,"Yes","-"),"?")</f>
        <v/>
      </c>
    </row>
    <row r="49">
      <c r="A49" s="5" t="inlineStr">
        <is>
          <t>Staff performance</t>
        </is>
      </c>
      <c r="B49" s="6" t="inlineStr">
        <is>
          <t>performance view own</t>
        </is>
      </c>
      <c r="C49" s="6" t="inlineStr">
        <is>
          <t>performance.view.own</t>
        </is>
      </c>
      <c r="D49" s="7" t="inlineStr">
        <is>
          <t>See your own performance figures and everything they are computed from. Held by every role, and it is not removable by configuration (ADR 0011): a score an employee cannot see is surveillance and lowers morale; the same score, visible with its inputs, is feedback and raises it. Which of those two this feature becomes is decided by this line.</t>
        </is>
      </c>
      <c r="E49" s="8">
        <f>IFERROR(IF(INDEX('Permission matrix'!$B$2:$J$56,MATCH($C49,'Permission matrix'!$A$2:$A$56,0),MATCH(E$1,'Permission matrix'!$B$1:$J$1,0))=1,"Yes","-"),"?")</f>
        <v/>
      </c>
      <c r="F49" s="8">
        <f>IFERROR(IF(INDEX('Permission matrix'!$B$2:$J$56,MATCH($C49,'Permission matrix'!$A$2:$A$56,0),MATCH(F$1,'Permission matrix'!$B$1:$J$1,0))=1,"Yes","-"),"?")</f>
        <v/>
      </c>
      <c r="G49" s="8">
        <f>IFERROR(IF(INDEX('Permission matrix'!$B$2:$J$56,MATCH($C49,'Permission matrix'!$A$2:$A$56,0),MATCH(G$1,'Permission matrix'!$B$1:$J$1,0))=1,"Yes","-"),"?")</f>
        <v/>
      </c>
      <c r="H49" s="8">
        <f>IFERROR(IF(INDEX('Permission matrix'!$B$2:$J$56,MATCH($C49,'Permission matrix'!$A$2:$A$56,0),MATCH(H$1,'Permission matrix'!$B$1:$J$1,0))=1,"Yes","-"),"?")</f>
        <v/>
      </c>
      <c r="I49" s="8">
        <f>IFERROR(IF(INDEX('Permission matrix'!$B$2:$J$56,MATCH($C49,'Permission matrix'!$A$2:$A$56,0),MATCH(I$1,'Permission matrix'!$B$1:$J$1,0))=1,"Yes","-"),"?")</f>
        <v/>
      </c>
      <c r="J49" s="8">
        <f>IFERROR(IF(INDEX('Permission matrix'!$B$2:$J$56,MATCH($C49,'Permission matrix'!$A$2:$A$56,0),MATCH(J$1,'Permission matrix'!$B$1:$J$1,0))=1,"Yes","-"),"?")</f>
        <v/>
      </c>
      <c r="K49" s="8">
        <f>IFERROR(IF(INDEX('Permission matrix'!$B$2:$J$56,MATCH($C49,'Permission matrix'!$A$2:$A$56,0),MATCH(K$1,'Permission matrix'!$B$1:$J$1,0))=1,"Yes","-"),"?")</f>
        <v/>
      </c>
      <c r="L49" s="8">
        <f>IFERROR(IF(INDEX('Permission matrix'!$B$2:$J$56,MATCH($C49,'Permission matrix'!$A$2:$A$56,0),MATCH(L$1,'Permission matrix'!$B$1:$J$1,0))=1,"Yes","-"),"?")</f>
        <v/>
      </c>
      <c r="M49" s="8">
        <f>IFERROR(IF(INDEX('Permission matrix'!$B$2:$J$56,MATCH($C49,'Permission matrix'!$A$2:$A$56,0),MATCH(M$1,'Permission matrix'!$B$1:$J$1,0))=1,"Yes","-"),"?")</f>
        <v/>
      </c>
    </row>
    <row r="50">
      <c r="A50" s="5" t="inlineStr">
        <is>
          <t>Staff performance</t>
        </is>
      </c>
      <c r="B50" s="6" t="inlineStr">
        <is>
          <t>performance view team</t>
        </is>
      </c>
      <c r="C50" s="6" t="inlineStr">
        <is>
          <t>performance.view.team</t>
        </is>
      </c>
      <c r="D50" s="7" t="inlineStr">
        <is>
          <t>See the team's performance figures. Top contributors are visible to everyone who holds it; a bottom ranking is not returned by any endpoint in this product, and below five scored people the team view shows nobody but the viewer - with three waiters, naming the top two names the third.</t>
        </is>
      </c>
      <c r="E50" s="8">
        <f>IFERROR(IF(INDEX('Permission matrix'!$B$2:$J$56,MATCH($C50,'Permission matrix'!$A$2:$A$56,0),MATCH(E$1,'Permission matrix'!$B$1:$J$1,0))=1,"Yes","-"),"?")</f>
        <v/>
      </c>
      <c r="F50" s="8">
        <f>IFERROR(IF(INDEX('Permission matrix'!$B$2:$J$56,MATCH($C50,'Permission matrix'!$A$2:$A$56,0),MATCH(F$1,'Permission matrix'!$B$1:$J$1,0))=1,"Yes","-"),"?")</f>
        <v/>
      </c>
      <c r="G50" s="8">
        <f>IFERROR(IF(INDEX('Permission matrix'!$B$2:$J$56,MATCH($C50,'Permission matrix'!$A$2:$A$56,0),MATCH(G$1,'Permission matrix'!$B$1:$J$1,0))=1,"Yes","-"),"?")</f>
        <v/>
      </c>
      <c r="H50" s="8">
        <f>IFERROR(IF(INDEX('Permission matrix'!$B$2:$J$56,MATCH($C50,'Permission matrix'!$A$2:$A$56,0),MATCH(H$1,'Permission matrix'!$B$1:$J$1,0))=1,"Yes","-"),"?")</f>
        <v/>
      </c>
      <c r="I50" s="8">
        <f>IFERROR(IF(INDEX('Permission matrix'!$B$2:$J$56,MATCH($C50,'Permission matrix'!$A$2:$A$56,0),MATCH(I$1,'Permission matrix'!$B$1:$J$1,0))=1,"Yes","-"),"?")</f>
        <v/>
      </c>
      <c r="J50" s="8">
        <f>IFERROR(IF(INDEX('Permission matrix'!$B$2:$J$56,MATCH($C50,'Permission matrix'!$A$2:$A$56,0),MATCH(J$1,'Permission matrix'!$B$1:$J$1,0))=1,"Yes","-"),"?")</f>
        <v/>
      </c>
      <c r="K50" s="8">
        <f>IFERROR(IF(INDEX('Permission matrix'!$B$2:$J$56,MATCH($C50,'Permission matrix'!$A$2:$A$56,0),MATCH(K$1,'Permission matrix'!$B$1:$J$1,0))=1,"Yes","-"),"?")</f>
        <v/>
      </c>
      <c r="L50" s="8">
        <f>IFERROR(IF(INDEX('Permission matrix'!$B$2:$J$56,MATCH($C50,'Permission matrix'!$A$2:$A$56,0),MATCH(L$1,'Permission matrix'!$B$1:$J$1,0))=1,"Yes","-"),"?")</f>
        <v/>
      </c>
      <c r="M50" s="8">
        <f>IFERROR(IF(INDEX('Permission matrix'!$B$2:$J$56,MATCH($C50,'Permission matrix'!$A$2:$A$56,0),MATCH(M$1,'Permission matrix'!$B$1:$J$1,0))=1,"Yes","-"),"?")</f>
        <v/>
      </c>
    </row>
    <row r="51">
      <c r="A51" s="5" t="inlineStr">
        <is>
          <t>Staff performance</t>
        </is>
      </c>
      <c r="B51" s="6" t="inlineStr">
        <is>
          <t>recognition award</t>
        </is>
      </c>
      <c r="C51" s="6" t="inlineStr">
        <is>
          <t>recognition.award</t>
        </is>
      </c>
      <c r="D51" s="7" t="inlineStr">
        <is>
          <t>Grant an award - cash, leave, a preferred shift, a meal, or simple recognition - with a citation saying what it is for. Granted by a person, never by a score (ADR 0011): data informs the decision and never makes it.</t>
        </is>
      </c>
      <c r="E51" s="8">
        <f>IFERROR(IF(INDEX('Permission matrix'!$B$2:$J$56,MATCH($C51,'Permission matrix'!$A$2:$A$56,0),MATCH(E$1,'Permission matrix'!$B$1:$J$1,0))=1,"Yes","-"),"?")</f>
        <v/>
      </c>
      <c r="F51" s="8">
        <f>IFERROR(IF(INDEX('Permission matrix'!$B$2:$J$56,MATCH($C51,'Permission matrix'!$A$2:$A$56,0),MATCH(F$1,'Permission matrix'!$B$1:$J$1,0))=1,"Yes","-"),"?")</f>
        <v/>
      </c>
      <c r="G51" s="8">
        <f>IFERROR(IF(INDEX('Permission matrix'!$B$2:$J$56,MATCH($C51,'Permission matrix'!$A$2:$A$56,0),MATCH(G$1,'Permission matrix'!$B$1:$J$1,0))=1,"Yes","-"),"?")</f>
        <v/>
      </c>
      <c r="H51" s="8">
        <f>IFERROR(IF(INDEX('Permission matrix'!$B$2:$J$56,MATCH($C51,'Permission matrix'!$A$2:$A$56,0),MATCH(H$1,'Permission matrix'!$B$1:$J$1,0))=1,"Yes","-"),"?")</f>
        <v/>
      </c>
      <c r="I51" s="8">
        <f>IFERROR(IF(INDEX('Permission matrix'!$B$2:$J$56,MATCH($C51,'Permission matrix'!$A$2:$A$56,0),MATCH(I$1,'Permission matrix'!$B$1:$J$1,0))=1,"Yes","-"),"?")</f>
        <v/>
      </c>
      <c r="J51" s="8">
        <f>IFERROR(IF(INDEX('Permission matrix'!$B$2:$J$56,MATCH($C51,'Permission matrix'!$A$2:$A$56,0),MATCH(J$1,'Permission matrix'!$B$1:$J$1,0))=1,"Yes","-"),"?")</f>
        <v/>
      </c>
      <c r="K51" s="8">
        <f>IFERROR(IF(INDEX('Permission matrix'!$B$2:$J$56,MATCH($C51,'Permission matrix'!$A$2:$A$56,0),MATCH(K$1,'Permission matrix'!$B$1:$J$1,0))=1,"Yes","-"),"?")</f>
        <v/>
      </c>
      <c r="L51" s="8">
        <f>IFERROR(IF(INDEX('Permission matrix'!$B$2:$J$56,MATCH($C51,'Permission matrix'!$A$2:$A$56,0),MATCH(L$1,'Permission matrix'!$B$1:$J$1,0))=1,"Yes","-"),"?")</f>
        <v/>
      </c>
      <c r="M51" s="8">
        <f>IFERROR(IF(INDEX('Permission matrix'!$B$2:$J$56,MATCH($C51,'Permission matrix'!$A$2:$A$56,0),MATCH(M$1,'Permission matrix'!$B$1:$J$1,0))=1,"Yes","-"),"?")</f>
        <v/>
      </c>
    </row>
    <row r="52">
      <c r="A52" s="5" t="inlineStr">
        <is>
          <t>Supply chain / procurement</t>
        </is>
      </c>
      <c r="B52" s="6" t="inlineStr">
        <is>
          <t>purchase manage</t>
        </is>
      </c>
      <c r="C52" s="6" t="inlineStr">
        <is>
          <t>purchase.manage</t>
        </is>
      </c>
      <c r="D52" s="7" t="inlineStr">
        <is>
          <t>Raise, send and cancel purchase orders. Separate from stock.receive on purpose - posting a delivery writes the stock ledger, so it is the ledger's permission, and the accountant who reconciles invoices can raise an order without ever signing for one.</t>
        </is>
      </c>
      <c r="E52" s="8">
        <f>IFERROR(IF(INDEX('Permission matrix'!$B$2:$J$56,MATCH($C52,'Permission matrix'!$A$2:$A$56,0),MATCH(E$1,'Permission matrix'!$B$1:$J$1,0))=1,"Yes","-"),"?")</f>
        <v/>
      </c>
      <c r="F52" s="8">
        <f>IFERROR(IF(INDEX('Permission matrix'!$B$2:$J$56,MATCH($C52,'Permission matrix'!$A$2:$A$56,0),MATCH(F$1,'Permission matrix'!$B$1:$J$1,0))=1,"Yes","-"),"?")</f>
        <v/>
      </c>
      <c r="G52" s="8">
        <f>IFERROR(IF(INDEX('Permission matrix'!$B$2:$J$56,MATCH($C52,'Permission matrix'!$A$2:$A$56,0),MATCH(G$1,'Permission matrix'!$B$1:$J$1,0))=1,"Yes","-"),"?")</f>
        <v/>
      </c>
      <c r="H52" s="8">
        <f>IFERROR(IF(INDEX('Permission matrix'!$B$2:$J$56,MATCH($C52,'Permission matrix'!$A$2:$A$56,0),MATCH(H$1,'Permission matrix'!$B$1:$J$1,0))=1,"Yes","-"),"?")</f>
        <v/>
      </c>
      <c r="I52" s="8">
        <f>IFERROR(IF(INDEX('Permission matrix'!$B$2:$J$56,MATCH($C52,'Permission matrix'!$A$2:$A$56,0),MATCH(I$1,'Permission matrix'!$B$1:$J$1,0))=1,"Yes","-"),"?")</f>
        <v/>
      </c>
      <c r="J52" s="8">
        <f>IFERROR(IF(INDEX('Permission matrix'!$B$2:$J$56,MATCH($C52,'Permission matrix'!$A$2:$A$56,0),MATCH(J$1,'Permission matrix'!$B$1:$J$1,0))=1,"Yes","-"),"?")</f>
        <v/>
      </c>
      <c r="K52" s="8">
        <f>IFERROR(IF(INDEX('Permission matrix'!$B$2:$J$56,MATCH($C52,'Permission matrix'!$A$2:$A$56,0),MATCH(K$1,'Permission matrix'!$B$1:$J$1,0))=1,"Yes","-"),"?")</f>
        <v/>
      </c>
      <c r="L52" s="8">
        <f>IFERROR(IF(INDEX('Permission matrix'!$B$2:$J$56,MATCH($C52,'Permission matrix'!$A$2:$A$56,0),MATCH(L$1,'Permission matrix'!$B$1:$J$1,0))=1,"Yes","-"),"?")</f>
        <v/>
      </c>
      <c r="M52" s="8">
        <f>IFERROR(IF(INDEX('Permission matrix'!$B$2:$J$56,MATCH($C52,'Permission matrix'!$A$2:$A$56,0),MATCH(M$1,'Permission matrix'!$B$1:$J$1,0))=1,"Yes","-"),"?")</f>
        <v/>
      </c>
    </row>
    <row r="53">
      <c r="A53" s="5" t="inlineStr">
        <is>
          <t>Supply chain / procurement</t>
        </is>
      </c>
      <c r="B53" s="6" t="inlineStr">
        <is>
          <t>supplier manage</t>
        </is>
      </c>
      <c r="C53" s="6" t="inlineStr">
        <is>
          <t>supplier.manage</t>
        </is>
      </c>
      <c r="D53" s="7" t="inlineStr">
        <is>
          <t>Add or change a supplier. Not held by the kitchen: inventing a supplier is how purchases get laundered, so create and edit are audited with the actor and a supplier is deactivated, never deleted.</t>
        </is>
      </c>
      <c r="E53" s="8">
        <f>IFERROR(IF(INDEX('Permission matrix'!$B$2:$J$56,MATCH($C53,'Permission matrix'!$A$2:$A$56,0),MATCH(E$1,'Permission matrix'!$B$1:$J$1,0))=1,"Yes","-"),"?")</f>
        <v/>
      </c>
      <c r="F53" s="8">
        <f>IFERROR(IF(INDEX('Permission matrix'!$B$2:$J$56,MATCH($C53,'Permission matrix'!$A$2:$A$56,0),MATCH(F$1,'Permission matrix'!$B$1:$J$1,0))=1,"Yes","-"),"?")</f>
        <v/>
      </c>
      <c r="G53" s="8">
        <f>IFERROR(IF(INDEX('Permission matrix'!$B$2:$J$56,MATCH($C53,'Permission matrix'!$A$2:$A$56,0),MATCH(G$1,'Permission matrix'!$B$1:$J$1,0))=1,"Yes","-"),"?")</f>
        <v/>
      </c>
      <c r="H53" s="8">
        <f>IFERROR(IF(INDEX('Permission matrix'!$B$2:$J$56,MATCH($C53,'Permission matrix'!$A$2:$A$56,0),MATCH(H$1,'Permission matrix'!$B$1:$J$1,0))=1,"Yes","-"),"?")</f>
        <v/>
      </c>
      <c r="I53" s="8">
        <f>IFERROR(IF(INDEX('Permission matrix'!$B$2:$J$56,MATCH($C53,'Permission matrix'!$A$2:$A$56,0),MATCH(I$1,'Permission matrix'!$B$1:$J$1,0))=1,"Yes","-"),"?")</f>
        <v/>
      </c>
      <c r="J53" s="8">
        <f>IFERROR(IF(INDEX('Permission matrix'!$B$2:$J$56,MATCH($C53,'Permission matrix'!$A$2:$A$56,0),MATCH(J$1,'Permission matrix'!$B$1:$J$1,0))=1,"Yes","-"),"?")</f>
        <v/>
      </c>
      <c r="K53" s="8">
        <f>IFERROR(IF(INDEX('Permission matrix'!$B$2:$J$56,MATCH($C53,'Permission matrix'!$A$2:$A$56,0),MATCH(K$1,'Permission matrix'!$B$1:$J$1,0))=1,"Yes","-"),"?")</f>
        <v/>
      </c>
      <c r="L53" s="8">
        <f>IFERROR(IF(INDEX('Permission matrix'!$B$2:$J$56,MATCH($C53,'Permission matrix'!$A$2:$A$56,0),MATCH(L$1,'Permission matrix'!$B$1:$J$1,0))=1,"Yes","-"),"?")</f>
        <v/>
      </c>
      <c r="M53" s="8">
        <f>IFERROR(IF(INDEX('Permission matrix'!$B$2:$J$56,MATCH($C53,'Permission matrix'!$A$2:$A$56,0),MATCH(M$1,'Permission matrix'!$B$1:$J$1,0))=1,"Yes","-"),"?")</f>
        <v/>
      </c>
    </row>
    <row r="54">
      <c r="A54" s="5" t="inlineStr">
        <is>
          <t>Supply chain / procurement</t>
        </is>
      </c>
      <c r="B54" s="6" t="inlineStr">
        <is>
          <t>supplier view</t>
        </is>
      </c>
      <c r="C54" s="6" t="inlineStr">
        <is>
          <t>supplier.view</t>
        </is>
      </c>
      <c r="D54" s="7" t="inlineStr">
        <is>
          <t>See the supplier list, purchase orders, goods receipts and the supplier variance report. Read-only, and commercially sensitive: it is who you buy from and what you pay.</t>
        </is>
      </c>
      <c r="E54" s="8">
        <f>IFERROR(IF(INDEX('Permission matrix'!$B$2:$J$56,MATCH($C54,'Permission matrix'!$A$2:$A$56,0),MATCH(E$1,'Permission matrix'!$B$1:$J$1,0))=1,"Yes","-"),"?")</f>
        <v/>
      </c>
      <c r="F54" s="8">
        <f>IFERROR(IF(INDEX('Permission matrix'!$B$2:$J$56,MATCH($C54,'Permission matrix'!$A$2:$A$56,0),MATCH(F$1,'Permission matrix'!$B$1:$J$1,0))=1,"Yes","-"),"?")</f>
        <v/>
      </c>
      <c r="G54" s="8">
        <f>IFERROR(IF(INDEX('Permission matrix'!$B$2:$J$56,MATCH($C54,'Permission matrix'!$A$2:$A$56,0),MATCH(G$1,'Permission matrix'!$B$1:$J$1,0))=1,"Yes","-"),"?")</f>
        <v/>
      </c>
      <c r="H54" s="8">
        <f>IFERROR(IF(INDEX('Permission matrix'!$B$2:$J$56,MATCH($C54,'Permission matrix'!$A$2:$A$56,0),MATCH(H$1,'Permission matrix'!$B$1:$J$1,0))=1,"Yes","-"),"?")</f>
        <v/>
      </c>
      <c r="I54" s="8">
        <f>IFERROR(IF(INDEX('Permission matrix'!$B$2:$J$56,MATCH($C54,'Permission matrix'!$A$2:$A$56,0),MATCH(I$1,'Permission matrix'!$B$1:$J$1,0))=1,"Yes","-"),"?")</f>
        <v/>
      </c>
      <c r="J54" s="8">
        <f>IFERROR(IF(INDEX('Permission matrix'!$B$2:$J$56,MATCH($C54,'Permission matrix'!$A$2:$A$56,0),MATCH(J$1,'Permission matrix'!$B$1:$J$1,0))=1,"Yes","-"),"?")</f>
        <v/>
      </c>
      <c r="K54" s="8">
        <f>IFERROR(IF(INDEX('Permission matrix'!$B$2:$J$56,MATCH($C54,'Permission matrix'!$A$2:$A$56,0),MATCH(K$1,'Permission matrix'!$B$1:$J$1,0))=1,"Yes","-"),"?")</f>
        <v/>
      </c>
      <c r="L54" s="8">
        <f>IFERROR(IF(INDEX('Permission matrix'!$B$2:$J$56,MATCH($C54,'Permission matrix'!$A$2:$A$56,0),MATCH(L$1,'Permission matrix'!$B$1:$J$1,0))=1,"Yes","-"),"?")</f>
        <v/>
      </c>
      <c r="M54" s="8">
        <f>IFERROR(IF(INDEX('Permission matrix'!$B$2:$J$56,MATCH($C54,'Permission matrix'!$A$2:$A$56,0),MATCH(M$1,'Permission matrix'!$B$1:$J$1,0))=1,"Yes","-"),"?")</f>
        <v/>
      </c>
    </row>
    <row r="55">
      <c r="A55" s="5" t="inlineStr">
        <is>
          <t>Waste management</t>
        </is>
      </c>
      <c r="B55" s="6" t="inlineStr">
        <is>
          <t>wastage approve</t>
        </is>
      </c>
      <c r="C55" s="6" t="inlineStr">
        <is>
          <t>wastage.approve</t>
        </is>
      </c>
      <c r="D55" s="7" t="inlineStr">
        <is>
          <t>Sign off waste logged against a reason the restaurant marked as needing approval - the expensive ones, such as expiry and quality rejection. It is the control standing between a reason code and somebody logging theft as waste, which is why the manager and the store manager hold it and the people who log most of the waste do not.</t>
        </is>
      </c>
      <c r="E55" s="8">
        <f>IFERROR(IF(INDEX('Permission matrix'!$B$2:$J$56,MATCH($C55,'Permission matrix'!$A$2:$A$56,0),MATCH(E$1,'Permission matrix'!$B$1:$J$1,0))=1,"Yes","-"),"?")</f>
        <v/>
      </c>
      <c r="F55" s="8">
        <f>IFERROR(IF(INDEX('Permission matrix'!$B$2:$J$56,MATCH($C55,'Permission matrix'!$A$2:$A$56,0),MATCH(F$1,'Permission matrix'!$B$1:$J$1,0))=1,"Yes","-"),"?")</f>
        <v/>
      </c>
      <c r="G55" s="8">
        <f>IFERROR(IF(INDEX('Permission matrix'!$B$2:$J$56,MATCH($C55,'Permission matrix'!$A$2:$A$56,0),MATCH(G$1,'Permission matrix'!$B$1:$J$1,0))=1,"Yes","-"),"?")</f>
        <v/>
      </c>
      <c r="H55" s="8">
        <f>IFERROR(IF(INDEX('Permission matrix'!$B$2:$J$56,MATCH($C55,'Permission matrix'!$A$2:$A$56,0),MATCH(H$1,'Permission matrix'!$B$1:$J$1,0))=1,"Yes","-"),"?")</f>
        <v/>
      </c>
      <c r="I55" s="8">
        <f>IFERROR(IF(INDEX('Permission matrix'!$B$2:$J$56,MATCH($C55,'Permission matrix'!$A$2:$A$56,0),MATCH(I$1,'Permission matrix'!$B$1:$J$1,0))=1,"Yes","-"),"?")</f>
        <v/>
      </c>
      <c r="J55" s="8">
        <f>IFERROR(IF(INDEX('Permission matrix'!$B$2:$J$56,MATCH($C55,'Permission matrix'!$A$2:$A$56,0),MATCH(J$1,'Permission matrix'!$B$1:$J$1,0))=1,"Yes","-"),"?")</f>
        <v/>
      </c>
      <c r="K55" s="8">
        <f>IFERROR(IF(INDEX('Permission matrix'!$B$2:$J$56,MATCH($C55,'Permission matrix'!$A$2:$A$56,0),MATCH(K$1,'Permission matrix'!$B$1:$J$1,0))=1,"Yes","-"),"?")</f>
        <v/>
      </c>
      <c r="L55" s="8">
        <f>IFERROR(IF(INDEX('Permission matrix'!$B$2:$J$56,MATCH($C55,'Permission matrix'!$A$2:$A$56,0),MATCH(L$1,'Permission matrix'!$B$1:$J$1,0))=1,"Yes","-"),"?")</f>
        <v/>
      </c>
      <c r="M55" s="8">
        <f>IFERROR(IF(INDEX('Permission matrix'!$B$2:$J$56,MATCH($C55,'Permission matrix'!$A$2:$A$56,0),MATCH(M$1,'Permission matrix'!$B$1:$J$1,0))=1,"Yes","-"),"?")</f>
        <v/>
      </c>
    </row>
    <row r="56">
      <c r="A56" s="5" t="inlineStr">
        <is>
          <t>Waste management</t>
        </is>
      </c>
      <c r="B56" s="6" t="inlineStr">
        <is>
          <t>wastage log</t>
        </is>
      </c>
      <c r="C56" s="6" t="inlineStr">
        <is>
          <t>wastage.log</t>
        </is>
      </c>
      <c r="D56" s="7" t="inlineStr">
        <is>
          <t>Record something thrown away: what, how much and why. The cost is computed by the server from the batches the stock actually came out of and is never asked of the person logging - a cook does not know what a kilo of paneer cost on the day it was delivered, and asking would either get a guess or stop them logging at all. Held by the chef, the kitchen staff, the manager and the store manager; a waiter does not hold it.</t>
        </is>
      </c>
      <c r="E56" s="8">
        <f>IFERROR(IF(INDEX('Permission matrix'!$B$2:$J$56,MATCH($C56,'Permission matrix'!$A$2:$A$56,0),MATCH(E$1,'Permission matrix'!$B$1:$J$1,0))=1,"Yes","-"),"?")</f>
        <v/>
      </c>
      <c r="F56" s="8">
        <f>IFERROR(IF(INDEX('Permission matrix'!$B$2:$J$56,MATCH($C56,'Permission matrix'!$A$2:$A$56,0),MATCH(F$1,'Permission matrix'!$B$1:$J$1,0))=1,"Yes","-"),"?")</f>
        <v/>
      </c>
      <c r="G56" s="8">
        <f>IFERROR(IF(INDEX('Permission matrix'!$B$2:$J$56,MATCH($C56,'Permission matrix'!$A$2:$A$56,0),MATCH(G$1,'Permission matrix'!$B$1:$J$1,0))=1,"Yes","-"),"?")</f>
        <v/>
      </c>
      <c r="H56" s="8">
        <f>IFERROR(IF(INDEX('Permission matrix'!$B$2:$J$56,MATCH($C56,'Permission matrix'!$A$2:$A$56,0),MATCH(H$1,'Permission matrix'!$B$1:$J$1,0))=1,"Yes","-"),"?")</f>
        <v/>
      </c>
      <c r="I56" s="8">
        <f>IFERROR(IF(INDEX('Permission matrix'!$B$2:$J$56,MATCH($C56,'Permission matrix'!$A$2:$A$56,0),MATCH(I$1,'Permission matrix'!$B$1:$J$1,0))=1,"Yes","-"),"?")</f>
        <v/>
      </c>
      <c r="J56" s="8">
        <f>IFERROR(IF(INDEX('Permission matrix'!$B$2:$J$56,MATCH($C56,'Permission matrix'!$A$2:$A$56,0),MATCH(J$1,'Permission matrix'!$B$1:$J$1,0))=1,"Yes","-"),"?")</f>
        <v/>
      </c>
      <c r="K56" s="8">
        <f>IFERROR(IF(INDEX('Permission matrix'!$B$2:$J$56,MATCH($C56,'Permission matrix'!$A$2:$A$56,0),MATCH(K$1,'Permission matrix'!$B$1:$J$1,0))=1,"Yes","-"),"?")</f>
        <v/>
      </c>
      <c r="L56" s="8">
        <f>IFERROR(IF(INDEX('Permission matrix'!$B$2:$J$56,MATCH($C56,'Permission matrix'!$A$2:$A$56,0),MATCH(L$1,'Permission matrix'!$B$1:$J$1,0))=1,"Yes","-"),"?")</f>
        <v/>
      </c>
      <c r="M56" s="8">
        <f>IFERROR(IF(INDEX('Permission matrix'!$B$2:$J$56,MATCH($C56,'Permission matrix'!$A$2:$A$56,0),MATCH(M$1,'Permission matrix'!$B$1:$J$1,0))=1,"Yes","-"),"?")</f>
        <v/>
      </c>
    </row>
  </sheetData>
  <autoFilter ref="A1:M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6" customWidth="1" min="2" max="2"/>
    <col width="20" customWidth="1" min="3" max="3"/>
    <col width="18" customWidth="1" min="4" max="4"/>
    <col width="18" customWidth="1" min="5" max="5"/>
    <col width="96" customWidth="1" min="6" max="6"/>
  </cols>
  <sheetData>
    <row r="1" ht="30" customHeight="1">
      <c r="A1" s="4" t="inlineStr">
        <is>
          <t>Role</t>
        </is>
      </c>
      <c r="B1" s="4" t="inlineStr">
        <is>
          <t>Code</t>
        </is>
      </c>
      <c r="C1" s="4" t="inlineStr">
        <is>
          <t>Rank (0 = most senior)</t>
        </is>
      </c>
      <c r="D1" s="4" t="inlineStr">
        <is>
          <t>Permissions held</t>
        </is>
      </c>
      <c r="E1" s="4" t="inlineStr">
        <is>
          <t>Pages reachable</t>
        </is>
      </c>
      <c r="F1" s="4" t="inlineStr">
        <is>
          <t>What the role is</t>
        </is>
      </c>
    </row>
    <row r="2">
      <c r="A2" s="6" t="inlineStr">
        <is>
          <t>Owner</t>
        </is>
      </c>
      <c r="B2" s="6" t="inlineStr">
        <is>
          <t>owner</t>
        </is>
      </c>
      <c r="C2" s="8" t="n">
        <v>0</v>
      </c>
      <c r="D2" s="8">
        <f>SUM(INDEX('Permission matrix'!$B$2:$J$56,0,MATCH($A2,'Permission matrix'!$B$1:$J$1,0)))</f>
        <v/>
      </c>
      <c r="E2" s="8">
        <f>COUNTIF(INDEX(Pages!$G$2:$O$63,0,MATCH($A2,Pages!$G$1:$O$1,0)),"Yes")+COUNTIF(INDEX(Pages!$G$2:$O$63,0,MATCH($A2,Pages!$G$1:$O$1,0)),"All")</f>
        <v/>
      </c>
      <c r="F2" s="7" t="inlineStr">
        <is>
          <t>The person whose money is at risk. Holds everything, always.</t>
        </is>
      </c>
    </row>
    <row r="3">
      <c r="A3" s="6" t="inlineStr">
        <is>
          <t>Administrator</t>
        </is>
      </c>
      <c r="B3" s="6" t="inlineStr">
        <is>
          <t>admin</t>
        </is>
      </c>
      <c r="C3" s="8" t="n">
        <v>10</v>
      </c>
      <c r="D3" s="8">
        <f>SUM(INDEX('Permission matrix'!$B$2:$J$56,0,MATCH($A3,'Permission matrix'!$B$1:$J$1,0)))</f>
        <v/>
      </c>
      <c r="E3" s="8">
        <f>COUNTIF(INDEX(Pages!$G$2:$O$63,0,MATCH($A3,Pages!$G$1:$O$1,0)),"Yes")+COUNTIF(INDEX(Pages!$G$2:$O$63,0,MATCH($A3,Pages!$G$1:$O$1,0)),"All")</f>
        <v/>
      </c>
      <c r="F3" s="7" t="inlineStr">
        <is>
          <t>The owner's delegate for system configuration. Trusted, not operational.</t>
        </is>
      </c>
    </row>
    <row r="4">
      <c r="A4" s="6" t="inlineStr">
        <is>
          <t>Manager</t>
        </is>
      </c>
      <c r="B4" s="6" t="inlineStr">
        <is>
          <t>manager</t>
        </is>
      </c>
      <c r="C4" s="8" t="n">
        <v>20</v>
      </c>
      <c r="D4" s="8">
        <f>SUM(INDEX('Permission matrix'!$B$2:$J$56,0,MATCH($A4,'Permission matrix'!$B$1:$J$1,0)))</f>
        <v/>
      </c>
      <c r="E4" s="8">
        <f>COUNTIF(INDEX(Pages!$G$2:$O$63,0,MATCH($A4,Pages!$G$1:$O$1,0)),"Yes")+COUNTIF(INDEX(Pages!$G$2:$O$63,0,MATCH($A4,Pages!$G$1:$O$1,0)),"All")</f>
        <v/>
      </c>
      <c r="F4" s="7" t="inlineStr">
        <is>
          <t>Runs the floor. Staffs a shift at 7am when the owner is not on site, and appoints junior roles and other managers — but can never promote anyone above manager, nor change their own roles. Every assignment is written to the audit trail.</t>
        </is>
      </c>
    </row>
    <row r="5">
      <c r="A5" s="6" t="inlineStr">
        <is>
          <t>Chef</t>
        </is>
      </c>
      <c r="B5" s="6" t="inlineStr">
        <is>
          <t>chef</t>
        </is>
      </c>
      <c r="C5" s="8" t="n">
        <v>30</v>
      </c>
      <c r="D5" s="8">
        <f>SUM(INDEX('Permission matrix'!$B$2:$J$56,0,MATCH($A5,'Permission matrix'!$B$1:$J$1,0)))</f>
        <v/>
      </c>
      <c r="E5" s="8">
        <f>COUNTIF(INDEX(Pages!$G$2:$O$63,0,MATCH($A5,Pages!$G$1:$O$1,0)),"Yes")+COUNTIF(INDEX(Pages!$G$2:$O$63,0,MATCH($A5,Pages!$G$1:$O$1,0)),"All")</f>
        <v/>
      </c>
      <c r="F5" s="7" t="inlineStr">
        <is>
          <t>Runs the kitchen and needs to know who is on. Reads the staff list, changes nothing.</t>
        </is>
      </c>
    </row>
    <row r="6">
      <c r="A6" s="6" t="inlineStr">
        <is>
          <t>Store Manager</t>
        </is>
      </c>
      <c r="B6" s="6" t="inlineStr">
        <is>
          <t>store_manager</t>
        </is>
      </c>
      <c r="C6" s="8" t="n">
        <v>30</v>
      </c>
      <c r="D6" s="8">
        <f>SUM(INDEX('Permission matrix'!$B$2:$J$56,0,MATCH($A6,'Permission matrix'!$B$1:$J$1,0)))</f>
        <v/>
      </c>
      <c r="E6" s="8">
        <f>COUNTIF(INDEX(Pages!$G$2:$O$63,0,MATCH($A6,Pages!$G$1:$O$1,0)),"Yes")+COUNTIF(INDEX(Pages!$G$2:$O$63,0,MATCH($A6,Pages!$G$1:$O$1,0)),"All")</f>
        <v/>
      </c>
      <c r="F6" s="7" t="inlineStr">
        <is>
          <t>Runs the store room and supplier relationships. Manages stock, not people.</t>
        </is>
      </c>
    </row>
    <row r="7">
      <c r="A7" s="6" t="inlineStr">
        <is>
          <t>Accountant</t>
        </is>
      </c>
      <c r="B7" s="6" t="inlineStr">
        <is>
          <t>accountant</t>
        </is>
      </c>
      <c r="C7" s="8" t="n">
        <v>30</v>
      </c>
      <c r="D7" s="8">
        <f>SUM(INDEX('Permission matrix'!$B$2:$J$56,0,MATCH($A7,'Permission matrix'!$B$1:$J$1,0)))</f>
        <v/>
      </c>
      <c r="E7" s="8">
        <f>COUNTIF(INDEX(Pages!$G$2:$O$63,0,MATCH($A7,Pages!$G$1:$O$1,0)),"Yes")+COUNTIF(INDEX(Pages!$G$2:$O$63,0,MATCH($A7,Pages!$G$1:$O$1,0)),"All")</f>
        <v/>
      </c>
      <c r="F7" s="7" t="inlineStr">
        <is>
          <t>Reads the staff list because payroll needs to know who is employed, and reconciles what suppliers billed against what arrived. Holds purchase.manage and NOT stock.receive: an accountant may raise an order and may never sign for a delivery. Reads every order and changes none: order.view is the whole of its order path.</t>
        </is>
      </c>
    </row>
    <row r="8">
      <c r="A8" s="6" t="inlineStr">
        <is>
          <t>Kitchen Staff</t>
        </is>
      </c>
      <c r="B8" s="6" t="inlineStr">
        <is>
          <t>kitchen_staff</t>
        </is>
      </c>
      <c r="C8" s="8" t="n">
        <v>40</v>
      </c>
      <c r="D8" s="8">
        <f>SUM(INDEX('Permission matrix'!$B$2:$J$56,0,MATCH($A8,'Permission matrix'!$B$1:$J$1,0)))</f>
        <v/>
      </c>
      <c r="E8" s="8">
        <f>COUNTIF(INDEX(Pages!$G$2:$O$63,0,MATCH($A8,Pages!$G$1:$O$1,0)),"Yes")+COUNTIF(INDEX(Pages!$G$2:$O$63,0,MATCH($A8,Pages!$G$1:$O$1,0)),"All")</f>
        <v/>
      </c>
      <c r="F8" s="7" t="inlineStr">
        <is>
          <t>Cooks to tickets. Nothing in M01.</t>
        </is>
      </c>
    </row>
    <row r="9">
      <c r="A9" s="6" t="inlineStr">
        <is>
          <t>Waiter</t>
        </is>
      </c>
      <c r="B9" s="6" t="inlineStr">
        <is>
          <t>waiter</t>
        </is>
      </c>
      <c r="C9" s="8" t="n">
        <v>40</v>
      </c>
      <c r="D9" s="8">
        <f>SUM(INDEX('Permission matrix'!$B$2:$J$56,0,MATCH($A9,'Permission matrix'!$B$1:$J$1,0)))</f>
        <v/>
      </c>
      <c r="E9" s="8">
        <f>COUNTIF(INDEX(Pages!$G$2:$O$63,0,MATCH($A9,Pages!$G$1:$O$1,0)),"Yes")+COUNTIF(INDEX(Pages!$G$2:$O$63,0,MATCH($A9,Pages!$G$1:$O$1,0)),"All")</f>
        <v/>
      </c>
      <c r="F9" s="7" t="inlineStr">
        <is>
          <t>Takes orders and takes the money: holds order.settle and NOT order.void, order.discount or cash.manage, which are the classic leakage vectors. Staff records carry phone numbers and dates of birth, so no access there.</t>
        </is>
      </c>
    </row>
    <row r="10">
      <c r="A10" s="6" t="inlineStr">
        <is>
          <t>Cleaner</t>
        </is>
      </c>
      <c r="B10" s="6" t="inlineStr">
        <is>
          <t>cleaner</t>
        </is>
      </c>
      <c r="C10" s="8" t="n">
        <v>40</v>
      </c>
      <c r="D10" s="8">
        <f>SUM(INDEX('Permission matrix'!$B$2:$J$56,0,MATCH($A10,'Permission matrix'!$B$1:$J$1,0)))</f>
        <v/>
      </c>
      <c r="E10" s="8">
        <f>COUNTIF(INDEX(Pages!$G$2:$O$63,0,MATCH($A10,Pages!$G$1:$O$1,0)),"Yes")+COUNTIF(INDEX(Pages!$G$2:$O$63,0,MATCH($A10,Pages!$G$1:$O$1,0)),"All")</f>
        <v/>
      </c>
      <c r="F10" s="7" t="inlineStr">
        <is>
          <t>Referenced by tasks and shifts. Frequently has no login at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2026-09-28T10:54:49Z</dcterms:created>
  <dcterms:modified xmlns:dcterms="http://purl.org/dc/terms/" xmlns:xsi="http://www.w3.org/2001/XMLSchema-instance" xsi:type="dcterms:W3CDTF">2026-09-28T10:54:49Z</dcterms:modified>
</cp:coreProperties>
</file>