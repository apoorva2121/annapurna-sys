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Progress" sheetId="3" state="visible" r:id="rId3"/>
    <sheet xmlns:r="http://schemas.openxmlformats.org/officeDocument/2006/relationships"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A34"/>
      <sz val="18"/>
    </font>
  </fonts>
  <fills count="5">
    <fill>
      <patternFill/>
    </fill>
    <fill>
      <patternFill patternType="gray125"/>
    </fill>
    <fill>
      <patternFill patternType="solid">
        <fgColor rgb="001F3A34"/>
      </patternFill>
    </fill>
    <fill>
      <patternFill patternType="solid">
        <fgColor rgb="00FFFF00"/>
      </patternFill>
    </fill>
    <fill>
      <patternFill patternType="solid">
        <fgColor rgb="00EDED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3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Hyderabad customer discovery - conversation tracker</t>
        </is>
      </c>
    </row>
    <row r="2">
      <c r="A2" s="2" t="inlineStr">
        <is>
          <t>Built 28 September 2026. Goal: 20 real conversations with restaurant owners before another line of code is written.</t>
        </is>
      </c>
    </row>
    <row r="3">
      <c r="A3" s="3" t="n"/>
    </row>
    <row r="4">
      <c r="A4" s="4" t="inlineStr">
        <is>
          <t>HOW TO USE THIS FILE</t>
        </is>
      </c>
    </row>
    <row r="5">
      <c r="A5" s="5" t="inlineStr">
        <is>
          <t>1. 'Targets' has starter rows. Add your own from Google Maps - search an area, copy name + number + Instagram.</t>
        </is>
      </c>
    </row>
    <row r="6">
      <c r="A6" s="5" t="inlineStr">
        <is>
          <t>2. Every yellow cell is yours to fill. Nothing else needs touching.</t>
        </is>
      </c>
    </row>
    <row r="7">
      <c r="A7" s="5" t="inlineStr">
        <is>
          <t>3. The 'Example' sheet shows one filled-in row so you can see the expected format. It is separate on purpose -</t>
        </is>
      </c>
    </row>
    <row r="8">
      <c r="A8" s="5" t="inlineStr">
        <is>
          <t xml:space="preserve">   nothing counts it, so you never have to remember to delete it.</t>
        </is>
      </c>
    </row>
    <row r="9">
      <c r="A9" s="5" t="inlineStr">
        <is>
          <t>4. 'Progress' counts itself. Do not type into it.</t>
        </is>
      </c>
    </row>
    <row r="10">
      <c r="A10" s="3" t="n"/>
    </row>
    <row r="11">
      <c r="A11" s="4" t="inlineStr">
        <is>
          <t>THE THREE QUESTIONS - ask these, unchanged, every time</t>
        </is>
      </c>
    </row>
    <row r="12">
      <c r="A12" s="5" t="inlineStr">
        <is>
          <t>Q1.  Pichle mahine paisa kahan gaya jo aapko samajh nahi aaya?   (Where did money go last month you could not explain?)</t>
        </is>
      </c>
    </row>
    <row r="13">
      <c r="A13" s="5" t="inlineStr">
        <is>
          <t>Q2.  Software pe kya kharch karte ho? Kuch band kiya? Kyun?      (What do you pay for, what did you stop, why?)</t>
        </is>
      </c>
    </row>
    <row r="14">
      <c r="A14" s="5" t="inlineStr">
        <is>
          <t>Q3.  Ek cheez kal theek kar doon - kya?                          (One thing fixed tomorrow - what?)</t>
        </is>
      </c>
    </row>
    <row r="15">
      <c r="A15" s="3" t="n"/>
    </row>
    <row r="16">
      <c r="A16" s="4" t="inlineStr">
        <is>
          <t>Write their words, not your summary. The phrase four owners use independently is your product.</t>
        </is>
      </c>
    </row>
    <row r="17">
      <c r="A17" s="3" t="n"/>
    </row>
    <row r="18">
      <c r="A18" s="4" t="inlineStr">
        <is>
          <t>RULES THAT MAKE THE DATA WORTH ANYTHING</t>
        </is>
      </c>
    </row>
    <row r="19">
      <c r="A19" s="5" t="inlineStr">
        <is>
          <t>- Do not demo. Do not pitch. The moment you demo, they turn polite and you learn nothing.</t>
        </is>
      </c>
    </row>
    <row r="20">
      <c r="A20" s="5" t="inlineStr">
        <is>
          <t>- Do not defend the existing app. If someone says something that threatens 19 modules, that is the most</t>
        </is>
      </c>
    </row>
    <row r="21">
      <c r="A21" s="5" t="inlineStr">
        <is>
          <t xml:space="preserve">  valuable sentence you will hear all year. Write it down and say thank you.</t>
        </is>
      </c>
    </row>
    <row r="22">
      <c r="A22" s="5" t="inlineStr">
        <is>
          <t>- Phone only between 3pm and 5pm. Never during a meal service.</t>
        </is>
      </c>
    </row>
    <row r="23">
      <c r="A23" s="5" t="inlineStr">
        <is>
          <t>- Target 1-5 outlets. Skip Paradise, Shah Ghouse, Hyderabad House, Bawarchi - gatekeepers, and you</t>
        </is>
      </c>
    </row>
    <row r="24">
      <c r="A24" s="5" t="inlineStr">
        <is>
          <t xml:space="preserve">  could not service them anyway.</t>
        </is>
      </c>
    </row>
    <row r="25">
      <c r="A25" s="3" t="n"/>
    </row>
    <row r="26">
      <c r="A26" s="4" t="inlineStr">
        <is>
          <t>HOW TO READ THE RESULT, AT 20 CONVERSATIONS</t>
        </is>
      </c>
    </row>
    <row r="27">
      <c r="A27" s="5" t="inlineStr">
        <is>
          <t>4+ say the same thing            -&gt;  that is the product. Build it, nothing else.</t>
        </is>
      </c>
    </row>
    <row r="28">
      <c r="A28" s="5" t="inlineStr">
        <is>
          <t>All say different things         -&gt;  no product there. Learned in 2 weeks instead of a year. That is a win.</t>
        </is>
      </c>
    </row>
    <row r="29">
      <c r="A29" s="5" t="inlineStr">
        <is>
          <t>Everyone says 'sab theek hai'    -&gt;  wrong question or wrong segment. Change segment.</t>
        </is>
      </c>
    </row>
    <row r="30">
      <c r="A30" s="5" t="inlineStr">
        <is>
          <t>Someone offers to pay first      -&gt;  stop reading. Build that.</t>
        </is>
      </c>
    </row>
    <row r="31">
      <c r="A31" s="3" t="n"/>
    </row>
    <row r="32">
      <c r="A32" s="4" t="inlineStr">
        <is>
          <t>EXPECTED HIT RATE - do not quit early</t>
        </is>
      </c>
    </row>
    <row r="33">
      <c r="A33" s="5" t="inlineStr">
        <is>
          <t>Instagram DM reply rate runs roughly 10-20%, and about half of those actually talk.</t>
        </is>
      </c>
    </row>
    <row r="34">
      <c r="A34" s="5" t="inlineStr">
        <is>
          <t>That is ~150-200 DMs for 20 conversations. Stopping at 20 DMs and 2 replies proves nothing.</t>
        </is>
      </c>
    </row>
    <row r="35">
      <c r="A35" s="3" t="n"/>
    </row>
    <row r="36">
      <c r="A36" s="4" t="inlineStr">
        <is>
          <t>THE BEST LEAD - do this first. Worth more than 200 phone numbers.</t>
        </is>
      </c>
    </row>
    <row r="37">
      <c r="A37" s="5" t="inlineStr">
        <is>
          <t>HRATS - Hotels &amp; Restaurants Association of Telangana State. Founded 2016 to bring small and medium</t>
        </is>
      </c>
    </row>
    <row r="38">
      <c r="A38" s="5" t="inlineStr">
        <is>
          <t>eateries under one platform. Office: Hotel Dwaraka Palace, Lakdi Ka Pul, Rajbhavan Road, Hyderabad 500004.</t>
        </is>
      </c>
    </row>
    <row r="39">
      <c r="A39" s="5" t="inlineStr">
        <is>
          <t>Ask to speak to a few members for research - not a pitch. An association introduction beats a cold call.</t>
        </is>
      </c>
    </row>
    <row r="40">
      <c r="A40" s="5" t="inlineStr">
        <is>
          <t>Their site (hrats.in) had an expired security certificate on 28 Sep 2026, so get the number from Google Maps.</t>
        </is>
      </c>
    </row>
    <row r="41">
      <c r="A41" s="3" t="n"/>
    </row>
    <row r="42">
      <c r="A42" s="4" t="inlineStr">
        <is>
          <t>WHERE THE STARTER ROWS CAME FROM</t>
        </is>
      </c>
    </row>
    <row r="43">
      <c r="A43" s="5" t="inlineStr">
        <is>
          <t>cloudkitchenadda.com/cloud-kitchens/hyderabad - 250+ verified Hyderabad cloud kitchens with area, cuisine</t>
        </is>
      </c>
    </row>
    <row r="44">
      <c r="A44" s="5" t="inlineStr">
        <is>
          <t>and FSSAI status, updated September 2026. Contact details sit on each listing page, not the index.</t>
        </is>
      </c>
    </row>
    <row r="45">
      <c r="A45" s="5" t="inlineStr">
        <is>
          <t>Densest areas: Madhapur, Gachibowli, Kondapur, Kukatpally, Manikonda, Hitech City.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8" customWidth="1" min="4" max="4"/>
    <col width="9" customWidth="1" min="5" max="5"/>
    <col width="14" customWidth="1" min="6" max="6"/>
    <col width="22" customWidth="1" min="7" max="7"/>
    <col width="14" customWidth="1" min="8" max="8"/>
    <col width="15" customWidth="1" min="9" max="9"/>
    <col width="12" customWidth="1" min="10" max="10"/>
    <col width="40" customWidth="1" min="11" max="11"/>
    <col width="40" customWidth="1" min="12" max="12"/>
    <col width="40" customWidth="1" min="13" max="13"/>
    <col width="15" customWidth="1" min="14" max="14"/>
    <col width="40" customWidth="1" min="15" max="15"/>
    <col width="13" customWidth="1" min="16" max="16"/>
  </cols>
  <sheetData>
    <row r="1" ht="34" customHeight="1">
      <c r="A1" s="6" t="inlineStr">
        <is>
          <t>#</t>
        </is>
      </c>
      <c r="B1" s="6" t="inlineStr">
        <is>
          <t>Restaurant / brand</t>
        </is>
      </c>
      <c r="C1" s="6" t="inlineStr">
        <is>
          <t>Area</t>
        </is>
      </c>
      <c r="D1" s="6" t="inlineStr">
        <is>
          <t>Type</t>
        </is>
      </c>
      <c r="E1" s="6" t="inlineStr">
        <is>
          <t>Outlets</t>
        </is>
      </c>
      <c r="F1" s="6" t="inlineStr">
        <is>
          <t>Channel</t>
        </is>
      </c>
      <c r="G1" s="6" t="inlineStr">
        <is>
          <t>Handle / number</t>
        </is>
      </c>
      <c r="H1" s="6" t="inlineStr">
        <is>
          <t>Date contacted</t>
        </is>
      </c>
      <c r="I1" s="6" t="inlineStr">
        <is>
          <t>Status</t>
        </is>
      </c>
      <c r="J1" s="6" t="inlineStr">
        <is>
          <t>Date talked</t>
        </is>
      </c>
      <c r="K1" s="6" t="inlineStr">
        <is>
          <t>Q1 - money that vanished (their words)</t>
        </is>
      </c>
      <c r="L1" s="6" t="inlineStr">
        <is>
          <t>Q2 - what they pay for / stopped &amp; why</t>
        </is>
      </c>
      <c r="M1" s="6" t="inlineStr">
        <is>
          <t>Q3 - one thing fixed tomorrow</t>
        </is>
      </c>
      <c r="N1" s="6" t="inlineStr">
        <is>
          <t>Would they pay?</t>
        </is>
      </c>
      <c r="O1" s="6" t="inlineStr">
        <is>
          <t>Exact phrases worth keeping</t>
        </is>
      </c>
      <c r="P1" s="6" t="inlineStr">
        <is>
          <t>Follow up on</t>
        </is>
      </c>
    </row>
    <row r="2" ht="30" customHeight="1">
      <c r="A2" s="7" t="n">
        <v>1</v>
      </c>
      <c r="B2" s="8" t="inlineStr">
        <is>
          <t>Arshh Kitchen</t>
        </is>
      </c>
      <c r="C2" s="8" t="inlineStr">
        <is>
          <t>Langar Houz</t>
        </is>
      </c>
      <c r="D2" s="8" t="inlineStr">
        <is>
          <t>Cloud kitchen</t>
        </is>
      </c>
      <c r="E2" s="8" t="n">
        <v>1</v>
      </c>
      <c r="F2" s="8" t="n"/>
      <c r="G2" s="8" t="n"/>
      <c r="H2" s="8" t="n"/>
      <c r="I2" s="8" t="inlineStr">
        <is>
          <t>Not contacted</t>
        </is>
      </c>
      <c r="J2" s="8" t="n"/>
      <c r="K2" s="8" t="n"/>
      <c r="L2" s="8" t="n"/>
      <c r="M2" s="8" t="n"/>
      <c r="N2" s="8" t="inlineStr">
        <is>
          <t>Unknown</t>
        </is>
      </c>
      <c r="O2" s="8" t="n"/>
      <c r="P2" s="8" t="n"/>
    </row>
    <row r="3" ht="30" customHeight="1">
      <c r="A3" s="7" t="n">
        <v>2</v>
      </c>
      <c r="B3" s="8" t="inlineStr">
        <is>
          <t>The Odia Kitchen</t>
        </is>
      </c>
      <c r="C3" s="8" t="inlineStr">
        <is>
          <t>Gachibowli / Kondapur</t>
        </is>
      </c>
      <c r="D3" s="8" t="inlineStr">
        <is>
          <t>Cloud kitchen</t>
        </is>
      </c>
      <c r="E3" s="8" t="n">
        <v>1</v>
      </c>
      <c r="F3" s="8" t="n"/>
      <c r="G3" s="8" t="n"/>
      <c r="H3" s="8" t="n"/>
      <c r="I3" s="8" t="inlineStr">
        <is>
          <t>Not contacted</t>
        </is>
      </c>
      <c r="J3" s="8" t="n"/>
      <c r="K3" s="8" t="n"/>
      <c r="L3" s="8" t="n"/>
      <c r="M3" s="8" t="n"/>
      <c r="N3" s="8" t="inlineStr">
        <is>
          <t>Unknown</t>
        </is>
      </c>
      <c r="O3" s="8" t="n"/>
      <c r="P3" s="8" t="n"/>
    </row>
    <row r="4" ht="30" customHeight="1">
      <c r="A4" s="7" t="n">
        <v>3</v>
      </c>
      <c r="B4" s="8" t="inlineStr">
        <is>
          <t>Shivaansh Home Kitchen</t>
        </is>
      </c>
      <c r="C4" s="8" t="inlineStr">
        <is>
          <t>Chikkadpally</t>
        </is>
      </c>
      <c r="D4" s="8" t="inlineStr">
        <is>
          <t>Cloud kitchen</t>
        </is>
      </c>
      <c r="E4" s="8" t="n">
        <v>1</v>
      </c>
      <c r="F4" s="8" t="n"/>
      <c r="G4" s="8" t="n"/>
      <c r="H4" s="8" t="n"/>
      <c r="I4" s="8" t="inlineStr">
        <is>
          <t>Not contacted</t>
        </is>
      </c>
      <c r="J4" s="8" t="n"/>
      <c r="K4" s="8" t="n"/>
      <c r="L4" s="8" t="n"/>
      <c r="M4" s="8" t="n"/>
      <c r="N4" s="8" t="inlineStr">
        <is>
          <t>Unknown</t>
        </is>
      </c>
      <c r="O4" s="8" t="n"/>
      <c r="P4" s="8" t="n"/>
    </row>
    <row r="5" ht="30" customHeight="1">
      <c r="A5" s="7" t="n">
        <v>4</v>
      </c>
      <c r="B5" s="8" t="inlineStr">
        <is>
          <t>Swaad Kitchen</t>
        </is>
      </c>
      <c r="C5" s="8" t="inlineStr">
        <is>
          <t>Mallampet</t>
        </is>
      </c>
      <c r="D5" s="8" t="inlineStr">
        <is>
          <t>Cloud kitchen</t>
        </is>
      </c>
      <c r="E5" s="8" t="n">
        <v>1</v>
      </c>
      <c r="F5" s="8" t="n"/>
      <c r="G5" s="8" t="n"/>
      <c r="H5" s="8" t="n"/>
      <c r="I5" s="8" t="inlineStr">
        <is>
          <t>Not contacted</t>
        </is>
      </c>
      <c r="J5" s="8" t="n"/>
      <c r="K5" s="8" t="n"/>
      <c r="L5" s="8" t="n"/>
      <c r="M5" s="8" t="n"/>
      <c r="N5" s="8" t="inlineStr">
        <is>
          <t>Unknown</t>
        </is>
      </c>
      <c r="O5" s="8" t="n"/>
      <c r="P5" s="8" t="n"/>
    </row>
    <row r="6" ht="30" customHeight="1">
      <c r="A6" s="7" t="n">
        <v>5</v>
      </c>
      <c r="B6" s="8" t="inlineStr">
        <is>
          <t>Fresh Home Foods</t>
        </is>
      </c>
      <c r="C6" s="8" t="inlineStr">
        <is>
          <t>Khairtabad</t>
        </is>
      </c>
      <c r="D6" s="8" t="inlineStr">
        <is>
          <t>Cloud kitchen</t>
        </is>
      </c>
      <c r="E6" s="8" t="n">
        <v>1</v>
      </c>
      <c r="F6" s="8" t="n"/>
      <c r="G6" s="8" t="n"/>
      <c r="H6" s="8" t="n"/>
      <c r="I6" s="8" t="inlineStr">
        <is>
          <t>Not contacted</t>
        </is>
      </c>
      <c r="J6" s="8" t="n"/>
      <c r="K6" s="8" t="n"/>
      <c r="L6" s="8" t="n"/>
      <c r="M6" s="8" t="n"/>
      <c r="N6" s="8" t="inlineStr">
        <is>
          <t>Unknown</t>
        </is>
      </c>
      <c r="O6" s="8" t="n"/>
      <c r="P6" s="8" t="n"/>
    </row>
    <row r="7">
      <c r="A7" s="7" t="n">
        <v>6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7" t="n">
        <v>7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7" t="n">
        <v>8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7" t="n">
        <v>9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7" t="n">
        <v>10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7" t="n">
        <v>11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7" t="n">
        <v>12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7" t="n">
        <v>13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7" t="n">
        <v>14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7" t="n">
        <v>15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7" t="n">
        <v>16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7" t="n">
        <v>17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7" t="n">
        <v>18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7" t="n">
        <v>19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7" t="n">
        <v>20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7" t="n">
        <v>21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7" t="n">
        <v>22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7" t="n">
        <v>23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7" t="n">
        <v>24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7" t="n">
        <v>25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7" t="n">
        <v>26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7" t="n">
        <v>27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7" t="n">
        <v>28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7" t="n">
        <v>29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7" t="n">
        <v>30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7" t="n">
        <v>31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7" t="n">
        <v>32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7" t="n">
        <v>33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7" t="n">
        <v>34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7" t="n">
        <v>35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7" t="n">
        <v>36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7" t="n">
        <v>37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7" t="n">
        <v>38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7" t="n">
        <v>39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7" t="n">
        <v>40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7" t="n">
        <v>41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7" t="n">
        <v>42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7" t="n">
        <v>43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7" t="n">
        <v>44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7" t="n">
        <v>45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7" t="n">
        <v>46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7" t="n">
        <v>47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7" t="n">
        <v>48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7" t="n">
        <v>49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7" t="n">
        <v>50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7" t="n">
        <v>51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7" t="n">
        <v>52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7" t="n">
        <v>53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7" t="n">
        <v>54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7" t="n">
        <v>55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7" t="n">
        <v>56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7" t="n">
        <v>57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7" t="n">
        <v>58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7" t="n">
        <v>59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7" t="n">
        <v>60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7" t="n">
        <v>61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7" t="n">
        <v>62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7" t="n">
        <v>63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7" t="n">
        <v>64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7" t="n">
        <v>65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7" t="n">
        <v>66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7" t="n">
        <v>67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7" t="n">
        <v>68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7" t="n">
        <v>69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7" t="n">
        <v>70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7" t="n">
        <v>71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7" t="n">
        <v>72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7" t="n">
        <v>73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7" t="n">
        <v>74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7" t="n">
        <v>75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7" t="n">
        <v>76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7" t="n">
        <v>77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7" t="n">
        <v>78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7" t="n">
        <v>79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7" t="n">
        <v>80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7" t="n">
        <v>81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7" t="n">
        <v>82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7" t="n">
        <v>83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7" t="n">
        <v>84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7" t="n">
        <v>85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7" t="n">
        <v>86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7" t="n">
        <v>87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7" t="n">
        <v>88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7" t="n">
        <v>89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7" t="n">
        <v>90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7" t="n">
        <v>91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7" t="n">
        <v>92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7" t="n">
        <v>93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7" t="n">
        <v>94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7" t="n">
        <v>95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7" t="n">
        <v>96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7" t="n">
        <v>97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7" t="n">
        <v>98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7" t="n">
        <v>99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7" t="n">
        <v>100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7" t="n">
        <v>101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7" t="n">
        <v>102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7" t="n">
        <v>103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7" t="n">
        <v>104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7" t="n">
        <v>105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7" t="n">
        <v>106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7" t="n">
        <v>107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7" t="n">
        <v>108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7" t="n">
        <v>109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7" t="n">
        <v>110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7" t="n">
        <v>111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7" t="n">
        <v>112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7" t="n">
        <v>113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7" t="n">
        <v>114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7" t="n">
        <v>115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7" t="n">
        <v>116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7" t="n">
        <v>117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7" t="n">
        <v>118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7" t="n">
        <v>119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7" t="n">
        <v>120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7" t="n">
        <v>121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7" t="n">
        <v>122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7" t="n">
        <v>123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7" t="n">
        <v>124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7" t="n">
        <v>125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7" t="n">
        <v>126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7" t="n">
        <v>127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7" t="n">
        <v>128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7" t="n">
        <v>129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7" t="n">
        <v>130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7" t="n">
        <v>131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7" t="n">
        <v>132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7" t="n">
        <v>133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7" t="n">
        <v>134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7" t="n">
        <v>135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7" t="n">
        <v>136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7" t="n">
        <v>137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7" t="n">
        <v>138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7" t="n">
        <v>139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7" t="n">
        <v>140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7" t="n">
        <v>141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7" t="n">
        <v>142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7" t="n">
        <v>143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7" t="n">
        <v>144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7" t="n">
        <v>145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7" t="n">
        <v>146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7" t="n">
        <v>147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7" t="n">
        <v>148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7" t="n">
        <v>149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7" t="n">
        <v>150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7" t="n">
        <v>151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7" t="n">
        <v>152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7" t="n">
        <v>153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7" t="n">
        <v>154</v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7" t="n">
        <v>155</v>
      </c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7" t="n">
        <v>156</v>
      </c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7" t="n">
        <v>157</v>
      </c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7" t="n">
        <v>158</v>
      </c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7" t="n">
        <v>159</v>
      </c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7" t="n">
        <v>160</v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7" t="n">
        <v>161</v>
      </c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7" t="n">
        <v>162</v>
      </c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7" t="n">
        <v>163</v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7" t="n">
        <v>164</v>
      </c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7" t="n">
        <v>165</v>
      </c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7" t="n">
        <v>166</v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7" t="n">
        <v>167</v>
      </c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7" t="n">
        <v>168</v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7" t="n">
        <v>169</v>
      </c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7" t="n">
        <v>170</v>
      </c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7" t="n">
        <v>171</v>
      </c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7" t="n">
        <v>172</v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7" t="n">
        <v>173</v>
      </c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7" t="n">
        <v>174</v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>
        <v>175</v>
      </c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7" t="n">
        <v>176</v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>
        <v>177</v>
      </c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7" t="n">
        <v>178</v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>
        <v>179</v>
      </c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7" t="n">
        <v>180</v>
      </c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>
        <v>181</v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7" t="n">
        <v>182</v>
      </c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7" t="n">
        <v>183</v>
      </c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7" t="n">
        <v>184</v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7" t="n">
        <v>185</v>
      </c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7" t="n">
        <v>186</v>
      </c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7" t="n">
        <v>187</v>
      </c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7" t="n">
        <v>188</v>
      </c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7" t="n">
        <v>189</v>
      </c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7" t="n">
        <v>190</v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7" t="n">
        <v>191</v>
      </c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7" t="n">
        <v>192</v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7" t="n">
        <v>193</v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7" t="n">
        <v>194</v>
      </c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7" t="n">
        <v>195</v>
      </c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7" t="n">
        <v>196</v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7" t="n">
        <v>197</v>
      </c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7" t="n">
        <v>198</v>
      </c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7" t="n">
        <v>199</v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</sheetData>
  <dataValidations count="4">
    <dataValidation sqref="D2:D400" showDropDown="0" showInputMessage="0" showErrorMessage="0" allowBlank="1" type="list">
      <formula1>"Independent,Cloud kitchen,Small chain (2-5),Cafe,Bar or pub,Sweet shop or bakery"</formula1>
    </dataValidation>
    <dataValidation sqref="F2:F400" showDropDown="0" showInputMessage="0" showErrorMessage="0" allowBlank="1" type="list">
      <formula1>"Instagram DM,LinkedIn,Phone,HRATS intro,Walk-in,Referral"</formula1>
    </dataValidation>
    <dataValidation sqref="I2:I400" showDropDown="0" showInputMessage="0" showErrorMessage="0" allowBlank="1" type="list">
      <formula1>"Not contacted,Sent,No reply,Replied,TALKED,Refused,Follow-up due"</formula1>
    </dataValidation>
    <dataValidation sqref="N2:N400" showDropDown="0" showInputMessage="0" showErrorMessage="0" allowBlank="1" type="list">
      <formula1>"Unknown,No,Maybe,Yes - said so,Offered to pay"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62" customWidth="1" min="3" max="3"/>
  </cols>
  <sheetData>
    <row r="1">
      <c r="A1" s="9" t="inlineStr">
        <is>
          <t>Progress</t>
        </is>
      </c>
    </row>
    <row r="2">
      <c r="A2" s="10" t="inlineStr">
        <is>
          <t>Counts itself from the Targets sheet. Do not type here.</t>
        </is>
      </c>
    </row>
    <row r="4">
      <c r="A4" s="7" t="inlineStr">
        <is>
          <t>Restaurants on the list</t>
        </is>
      </c>
      <c r="B4" s="7">
        <f>COUNTA(Targets!B2:B400)</f>
        <v/>
      </c>
      <c r="C4" s="10" t="inlineStr"/>
    </row>
    <row r="5">
      <c r="A5" s="7" t="inlineStr">
        <is>
          <t>Contacted</t>
        </is>
      </c>
      <c r="B5" s="7">
        <f>COUNTIF(Targets!I2:I400,"Sent")+COUNTIF(Targets!I2:I400,"No reply")+COUNTIF(Targets!I2:I400,"Replied")+COUNTIF(Targets!I2:I400,"TALKED")+COUNTIF(Targets!I2:I400,"Refused")</f>
        <v/>
      </c>
      <c r="C5" s="10" t="inlineStr"/>
    </row>
    <row r="6">
      <c r="A6" s="7" t="inlineStr">
        <is>
          <t>Replied</t>
        </is>
      </c>
      <c r="B6" s="7">
        <f>COUNTIF(Targets!I2:I400,"Replied")+COUNTIF(Targets!I2:I400,"TALKED")</f>
        <v/>
      </c>
      <c r="C6" s="10" t="inlineStr"/>
    </row>
    <row r="7">
      <c r="A7" s="11" t="inlineStr">
        <is>
          <t>Actually talked</t>
        </is>
      </c>
      <c r="B7" s="12">
        <f>COUNTIF(Targets!I2:I400,"TALKED")</f>
        <v/>
      </c>
      <c r="C7" s="10" t="inlineStr">
        <is>
          <t>the only number that matters</t>
        </is>
      </c>
    </row>
    <row r="8">
      <c r="A8" s="7" t="inlineStr">
        <is>
          <t>Follow-ups due</t>
        </is>
      </c>
      <c r="B8" s="7">
        <f>COUNTIF(Targets!I2:I400,"Follow-up due")</f>
        <v/>
      </c>
      <c r="C8" s="10" t="inlineStr"/>
    </row>
    <row r="9">
      <c r="A9" s="7" t="inlineStr">
        <is>
          <t>Said they would pay</t>
        </is>
      </c>
      <c r="B9" s="7">
        <f>COUNTIF(Targets!N2:N400,"Yes - said so")+COUNTIF(Targets!N2:N400,"Offered to pay")</f>
        <v/>
      </c>
      <c r="C9" s="10" t="inlineStr"/>
    </row>
    <row r="11">
      <c r="A11" s="7" t="inlineStr">
        <is>
          <t>Reply rate</t>
        </is>
      </c>
      <c r="B11" s="13">
        <f>IFERROR(B6/B5,0)</f>
        <v/>
      </c>
      <c r="C11" s="10" t="inlineStr">
        <is>
          <t>expect 10-20% on Instagram</t>
        </is>
      </c>
    </row>
    <row r="12">
      <c r="A12" s="7" t="inlineStr">
        <is>
          <t>Talk rate, of those contacted</t>
        </is>
      </c>
      <c r="B12" s="13">
        <f>IFERROR(B7/B5,0)</f>
        <v/>
      </c>
      <c r="C12" s="10" t="inlineStr"/>
    </row>
    <row r="14">
      <c r="A14" s="11" t="inlineStr">
        <is>
          <t>TARGET</t>
        </is>
      </c>
      <c r="B14" s="7" t="n">
        <v>20</v>
      </c>
      <c r="C14" s="10" t="inlineStr">
        <is>
          <t>conversations before any code</t>
        </is>
      </c>
    </row>
    <row r="15">
      <c r="A15" s="11" t="inlineStr">
        <is>
          <t>Still to go</t>
        </is>
      </c>
      <c r="B15" s="12">
        <f>MAX(0,B14-B7)</f>
        <v/>
      </c>
      <c r="C15" s="10" t="inlineStr"/>
    </row>
    <row r="16">
      <c r="A16" s="7" t="inlineStr">
        <is>
          <t>Done</t>
        </is>
      </c>
      <c r="B16" s="13">
        <f>IFERROR(B7/B14,0)</f>
        <v/>
      </c>
      <c r="C16" s="10" t="inlineStr"/>
    </row>
    <row r="19">
      <c r="A19" s="11" t="inlineStr">
        <is>
          <t>Segment split - are you only hearing from one kind of place?</t>
        </is>
      </c>
    </row>
    <row r="20">
      <c r="A20" s="7" t="inlineStr">
        <is>
          <t>Independent</t>
        </is>
      </c>
      <c r="B20" s="7">
        <f>COUNTIFS(Targets!D2:D400,A20,Targets!I2:I400,"TALKED")</f>
        <v/>
      </c>
    </row>
    <row r="21">
      <c r="A21" s="7" t="inlineStr">
        <is>
          <t>Cloud kitchen</t>
        </is>
      </c>
      <c r="B21" s="7">
        <f>COUNTIFS(Targets!D2:D400,A21,Targets!I2:I400,"TALKED")</f>
        <v/>
      </c>
    </row>
    <row r="22">
      <c r="A22" s="7" t="inlineStr">
        <is>
          <t>Small chain (2-5)</t>
        </is>
      </c>
      <c r="B22" s="7">
        <f>COUNTIFS(Targets!D2:D400,A22,Targets!I2:I400,"TALKED")</f>
        <v/>
      </c>
    </row>
    <row r="23">
      <c r="A23" s="7" t="inlineStr">
        <is>
          <t>Cafe</t>
        </is>
      </c>
      <c r="B23" s="7">
        <f>COUNTIFS(Targets!D2:D400,A23,Targets!I2:I400,"TALKED")</f>
        <v/>
      </c>
    </row>
    <row r="24">
      <c r="A24" s="7" t="inlineStr">
        <is>
          <t>Bar or pub</t>
        </is>
      </c>
      <c r="B24" s="7">
        <f>COUNTIFS(Targets!D2:D400,A24,Targets!I2:I400,"TALKED")</f>
        <v/>
      </c>
    </row>
    <row r="25">
      <c r="A25" s="7" t="inlineStr">
        <is>
          <t>Sweet shop or bakery</t>
        </is>
      </c>
      <c r="B25" s="7">
        <f>COUNTIFS(Targets!D2:D400,A25,Targets!I2:I400,"TALKED")</f>
        <v/>
      </c>
    </row>
    <row r="26">
      <c r="C26" s="10" t="inlineStr">
        <is>
          <t>Different segments give different answers. The difference IS the signal.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9" t="inlineStr">
        <is>
          <t>What a filled-in row looks like</t>
        </is>
      </c>
    </row>
    <row r="2">
      <c r="A2" s="10" t="inlineStr">
        <is>
          <t>Nothing on this sheet is counted. Copy the shape, not the content.</t>
        </is>
      </c>
    </row>
    <row r="4">
      <c r="A4" s="11" t="inlineStr">
        <is>
          <t>Restaurant / brand</t>
        </is>
      </c>
      <c r="B4" s="14" t="inlineStr">
        <is>
          <t>Example Kitchen</t>
        </is>
      </c>
    </row>
    <row r="5">
      <c r="A5" s="11" t="inlineStr">
        <is>
          <t>Area</t>
        </is>
      </c>
      <c r="B5" s="14" t="inlineStr">
        <is>
          <t>Madhapur</t>
        </is>
      </c>
    </row>
    <row r="6">
      <c r="A6" s="11" t="inlineStr">
        <is>
          <t>Type</t>
        </is>
      </c>
      <c r="B6" s="14" t="inlineStr">
        <is>
          <t>Cloud kitchen</t>
        </is>
      </c>
    </row>
    <row r="7">
      <c r="A7" s="11" t="inlineStr">
        <is>
          <t>Outlets</t>
        </is>
      </c>
      <c r="B7" s="14" t="inlineStr">
        <is>
          <t>1</t>
        </is>
      </c>
    </row>
    <row r="8">
      <c r="A8" s="11" t="inlineStr">
        <is>
          <t>Channel</t>
        </is>
      </c>
      <c r="B8" s="14" t="inlineStr">
        <is>
          <t>Instagram DM</t>
        </is>
      </c>
    </row>
    <row r="9">
      <c r="A9" s="11" t="inlineStr">
        <is>
          <t>Handle / number</t>
        </is>
      </c>
      <c r="B9" s="14" t="inlineStr">
        <is>
          <t>@example_kitchen</t>
        </is>
      </c>
    </row>
    <row r="10">
      <c r="A10" s="11" t="inlineStr">
        <is>
          <t>Date contacted</t>
        </is>
      </c>
      <c r="B10" s="14" t="inlineStr">
        <is>
          <t>2026-10-01</t>
        </is>
      </c>
    </row>
    <row r="11">
      <c r="A11" s="11" t="inlineStr">
        <is>
          <t>Status</t>
        </is>
      </c>
      <c r="B11" s="14" t="inlineStr">
        <is>
          <t>TALKED</t>
        </is>
      </c>
    </row>
    <row r="12">
      <c r="A12" s="11" t="inlineStr">
        <is>
          <t>Date talked</t>
        </is>
      </c>
      <c r="B12" s="14" t="inlineStr">
        <is>
          <t>2026-10-03</t>
        </is>
      </c>
    </row>
    <row r="13">
      <c r="A13" s="11" t="inlineStr">
        <is>
          <t>Q1 - money that vanished</t>
        </is>
      </c>
      <c r="B13" s="14" t="inlineStr">
        <is>
          <t>Swiggy ka payout kam aata hai, mila nahi paata. Har mahine alag number.</t>
        </is>
      </c>
    </row>
    <row r="14">
      <c r="A14" s="11" t="inlineStr">
        <is>
          <t>Q2 - pays for / stopped &amp; why</t>
        </is>
      </c>
      <c r="B14" s="14" t="inlineStr">
        <is>
          <t>Petpooja chhod diya - paise lene ke baad support nahi milta tha.</t>
        </is>
      </c>
    </row>
    <row r="15">
      <c r="A15" s="11" t="inlineStr">
        <is>
          <t>Q3 - one thing fixed tomorrow</t>
        </is>
      </c>
      <c r="B15" s="14" t="inlineStr">
        <is>
          <t>Swiggy ka hisaab check karne ka koi tareeka.</t>
        </is>
      </c>
    </row>
    <row r="16">
      <c r="A16" s="11" t="inlineStr">
        <is>
          <t>Would they pay?</t>
        </is>
      </c>
      <c r="B16" s="14" t="inlineStr">
        <is>
          <t>Maybe</t>
        </is>
      </c>
    </row>
    <row r="17">
      <c r="A17" s="11" t="inlineStr">
        <is>
          <t>Exact phrases worth keeping</t>
        </is>
      </c>
      <c r="B17" s="14" t="inlineStr">
        <is>
          <t>har mahine 15-20 hazaar ka farak lagta hai, samajh nahi aata kahan gaya</t>
        </is>
      </c>
    </row>
    <row r="18">
      <c r="A18" s="11" t="inlineStr">
        <is>
          <t>Follow up on</t>
        </is>
      </c>
      <c r="B18" s="14" t="inlineStr">
        <is>
          <t>2026-10-17</t>
        </is>
      </c>
    </row>
    <row r="20">
      <c r="A20" s="11" t="inlineStr">
        <is>
          <t>Note the Q1 answer.</t>
        </is>
      </c>
    </row>
    <row r="21">
      <c r="A21" s="7" t="inlineStr">
        <is>
          <t>It is in his words, it names a rupee figure, and it is about money already lost -</t>
        </is>
      </c>
    </row>
    <row r="22">
      <c r="A22" s="7" t="inlineStr">
        <is>
          <t>not a feature he wants. That is what a real answer sounds like.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2026-09-28T16:47:33Z</dcterms:created>
  <dcterms:modified xmlns:dcterms="http://purl.org/dc/terms/" xmlns:xsi="http://www.w3.org/2001/XMLSchema-instance" xsi:type="dcterms:W3CDTF">2026-09-28T16:47:33Z</dcterms:modified>
</cp:coreProperties>
</file>